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28755" windowHeight="12600"/>
  </bookViews>
  <sheets>
    <sheet name="Plan1" sheetId="1" r:id="rId1"/>
    <sheet name="Plan2" sheetId="2" r:id="rId2"/>
    <sheet name="Plan3" sheetId="3" r:id="rId3"/>
  </sheets>
  <calcPr calcId="125725"/>
</workbook>
</file>

<file path=xl/calcChain.xml><?xml version="1.0" encoding="utf-8"?>
<calcChain xmlns="http://schemas.openxmlformats.org/spreadsheetml/2006/main">
  <c r="D43" i="1"/>
  <c r="D44"/>
  <c r="D45"/>
  <c r="D46"/>
  <c r="D47"/>
  <c r="D48"/>
  <c r="D49"/>
  <c r="D50"/>
  <c r="D51"/>
  <c r="D52"/>
  <c r="D53"/>
  <c r="U53"/>
  <c r="U52"/>
  <c r="U51"/>
  <c r="U50"/>
  <c r="U49"/>
  <c r="U48"/>
  <c r="U47"/>
  <c r="U46"/>
  <c r="U45"/>
  <c r="U44"/>
  <c r="U43"/>
  <c r="P53"/>
  <c r="P52"/>
  <c r="P51"/>
  <c r="P50"/>
  <c r="P49"/>
  <c r="P48"/>
  <c r="P47"/>
  <c r="P46"/>
  <c r="P45"/>
  <c r="P44"/>
  <c r="P43"/>
  <c r="J53"/>
  <c r="J52"/>
  <c r="J51"/>
  <c r="J50"/>
  <c r="J49"/>
  <c r="J48"/>
  <c r="J47"/>
  <c r="J46"/>
  <c r="J45"/>
  <c r="J44"/>
  <c r="J43"/>
  <c r="U41"/>
  <c r="U40"/>
  <c r="U39"/>
  <c r="U38"/>
  <c r="U37"/>
  <c r="U36"/>
  <c r="U35"/>
  <c r="U34"/>
  <c r="U33"/>
  <c r="U32"/>
  <c r="U31"/>
  <c r="P41"/>
  <c r="P40"/>
  <c r="P39"/>
  <c r="P38"/>
  <c r="P37"/>
  <c r="P36"/>
  <c r="P35"/>
  <c r="P34"/>
  <c r="P33"/>
  <c r="P32"/>
  <c r="P31"/>
  <c r="J41"/>
  <c r="J40"/>
  <c r="J39"/>
  <c r="J38"/>
  <c r="J37"/>
  <c r="J36"/>
  <c r="J35"/>
  <c r="J34"/>
  <c r="J33"/>
  <c r="J32"/>
  <c r="J31"/>
  <c r="D32"/>
  <c r="D33"/>
  <c r="D34"/>
  <c r="D35"/>
  <c r="D36"/>
  <c r="D37"/>
  <c r="D38"/>
  <c r="D39"/>
  <c r="D40"/>
  <c r="D41"/>
  <c r="D31"/>
  <c r="AL3"/>
  <c r="AM3" s="1"/>
  <c r="AL4"/>
  <c r="AM4"/>
  <c r="AL5"/>
  <c r="AM5" s="1"/>
  <c r="AL6"/>
  <c r="AM6" s="1"/>
  <c r="AL7"/>
  <c r="AM7" s="1"/>
  <c r="AL8"/>
  <c r="AM8"/>
  <c r="AL9"/>
  <c r="AM9" s="1"/>
  <c r="AL10"/>
  <c r="AM10" s="1"/>
  <c r="AL11"/>
  <c r="AM11" s="1"/>
  <c r="AL2"/>
  <c r="AM2" s="1"/>
  <c r="S2"/>
  <c r="T2" s="1"/>
  <c r="H4"/>
  <c r="H5" s="1"/>
  <c r="H6" s="1"/>
  <c r="H7" s="1"/>
  <c r="H8" s="1"/>
  <c r="H9" s="1"/>
  <c r="H10" s="1"/>
  <c r="H11" s="1"/>
  <c r="H3"/>
  <c r="K3" s="1"/>
  <c r="G2"/>
  <c r="P2"/>
  <c r="Q2" s="1"/>
  <c r="R2" s="1"/>
  <c r="J2"/>
  <c r="U2" l="1"/>
  <c r="V2"/>
  <c r="W2" s="1"/>
  <c r="X2" s="1"/>
  <c r="Y2" s="1"/>
  <c r="Z2" s="1"/>
  <c r="AA2" s="1"/>
  <c r="AB2" s="1"/>
  <c r="AC2" s="1"/>
  <c r="AD2" s="1"/>
  <c r="AE2" s="1"/>
  <c r="AF2" s="1"/>
  <c r="AG2" s="1"/>
  <c r="AH2" s="1"/>
  <c r="AI2" s="1"/>
  <c r="AJ2" s="1"/>
  <c r="AK2" s="1"/>
  <c r="L3"/>
  <c r="M3" s="1"/>
  <c r="N3" s="1"/>
  <c r="P4"/>
  <c r="P6"/>
  <c r="K7"/>
  <c r="L7" s="1"/>
  <c r="M7" s="1"/>
  <c r="N7" s="1"/>
  <c r="K5"/>
  <c r="K2"/>
  <c r="L2" s="1"/>
  <c r="M2" s="1"/>
  <c r="N2" s="1"/>
  <c r="K4"/>
  <c r="L4" s="1"/>
  <c r="P5"/>
  <c r="K6"/>
  <c r="P3"/>
  <c r="Q3" l="1"/>
  <c r="R3" s="1"/>
  <c r="S3" s="1"/>
  <c r="T3" s="1"/>
  <c r="U3" s="1"/>
  <c r="V3" s="1"/>
  <c r="W3" s="1"/>
  <c r="X3" s="1"/>
  <c r="Y3" s="1"/>
  <c r="Z3" s="1"/>
  <c r="AA3" s="1"/>
  <c r="AB3" s="1"/>
  <c r="AC3" s="1"/>
  <c r="AD3" s="1"/>
  <c r="AE3" s="1"/>
  <c r="AF3" s="1"/>
  <c r="AG3" s="1"/>
  <c r="AH3" s="1"/>
  <c r="AI3" s="1"/>
  <c r="AJ3" s="1"/>
  <c r="AK3" s="1"/>
  <c r="Q4"/>
  <c r="R4" s="1"/>
  <c r="S4"/>
  <c r="T4" s="1"/>
  <c r="U4" s="1"/>
  <c r="V4" s="1"/>
  <c r="W4" s="1"/>
  <c r="X4" s="1"/>
  <c r="Y4" s="1"/>
  <c r="Z4" s="1"/>
  <c r="AA4" s="1"/>
  <c r="AB4" s="1"/>
  <c r="AC4" s="1"/>
  <c r="AD4" s="1"/>
  <c r="AE4" s="1"/>
  <c r="AF4" s="1"/>
  <c r="AG4" s="1"/>
  <c r="AH4" s="1"/>
  <c r="AI4" s="1"/>
  <c r="AJ4" s="1"/>
  <c r="AK4" s="1"/>
  <c r="Q6"/>
  <c r="R6" s="1"/>
  <c r="S6" s="1"/>
  <c r="T6" s="1"/>
  <c r="Q5"/>
  <c r="R5" s="1"/>
  <c r="S5"/>
  <c r="T5" s="1"/>
  <c r="P7"/>
  <c r="L6"/>
  <c r="M6" s="1"/>
  <c r="N6" s="1"/>
  <c r="L5"/>
  <c r="M5" s="1"/>
  <c r="N5" s="1"/>
  <c r="M4"/>
  <c r="N4" s="1"/>
  <c r="V6" l="1"/>
  <c r="W6" s="1"/>
  <c r="X6" s="1"/>
  <c r="Y6" s="1"/>
  <c r="Z6" s="1"/>
  <c r="AA6" s="1"/>
  <c r="AB6" s="1"/>
  <c r="AC6" s="1"/>
  <c r="AD6" s="1"/>
  <c r="AE6" s="1"/>
  <c r="AF6" s="1"/>
  <c r="AG6" s="1"/>
  <c r="AH6" s="1"/>
  <c r="AI6" s="1"/>
  <c r="AJ6" s="1"/>
  <c r="AK6" s="1"/>
  <c r="U6"/>
  <c r="Q7"/>
  <c r="R7" s="1"/>
  <c r="S7" s="1"/>
  <c r="T7" s="1"/>
  <c r="U7" s="1"/>
  <c r="V7" s="1"/>
  <c r="W7" s="1"/>
  <c r="X7" s="1"/>
  <c r="Y7" s="1"/>
  <c r="Z7" s="1"/>
  <c r="AA7" s="1"/>
  <c r="AB7" s="1"/>
  <c r="AC7" s="1"/>
  <c r="AD7" s="1"/>
  <c r="AE7" s="1"/>
  <c r="AF7" s="1"/>
  <c r="AG7" s="1"/>
  <c r="AH7" s="1"/>
  <c r="AI7" s="1"/>
  <c r="AJ7" s="1"/>
  <c r="AK7" s="1"/>
  <c r="U5"/>
  <c r="V5" s="1"/>
  <c r="W5" s="1"/>
  <c r="X5" s="1"/>
  <c r="Y5" s="1"/>
  <c r="Z5" s="1"/>
  <c r="AA5" s="1"/>
  <c r="AB5" s="1"/>
  <c r="AC5" s="1"/>
  <c r="AD5" s="1"/>
  <c r="AE5" s="1"/>
  <c r="AF5" s="1"/>
  <c r="AG5" s="1"/>
  <c r="AH5" s="1"/>
  <c r="AI5" s="1"/>
  <c r="AJ5" s="1"/>
  <c r="AK5" s="1"/>
  <c r="P8"/>
  <c r="K8"/>
  <c r="L8" s="1"/>
  <c r="M8" s="1"/>
  <c r="N8" s="1"/>
  <c r="Q8" l="1"/>
  <c r="R8" s="1"/>
  <c r="S8" s="1"/>
  <c r="T8" s="1"/>
  <c r="K9"/>
  <c r="L9" s="1"/>
  <c r="M9" s="1"/>
  <c r="N9" s="1"/>
  <c r="P9"/>
  <c r="V8" l="1"/>
  <c r="W8" s="1"/>
  <c r="X8" s="1"/>
  <c r="Y8" s="1"/>
  <c r="Z8" s="1"/>
  <c r="AA8" s="1"/>
  <c r="AB8" s="1"/>
  <c r="AC8" s="1"/>
  <c r="AD8" s="1"/>
  <c r="AE8" s="1"/>
  <c r="AF8" s="1"/>
  <c r="AG8" s="1"/>
  <c r="AH8" s="1"/>
  <c r="AI8" s="1"/>
  <c r="AJ8" s="1"/>
  <c r="AK8" s="1"/>
  <c r="U8"/>
  <c r="Q9"/>
  <c r="R9" s="1"/>
  <c r="S9" s="1"/>
  <c r="T9" s="1"/>
  <c r="U9" s="1"/>
  <c r="V9" s="1"/>
  <c r="W9" s="1"/>
  <c r="X9" s="1"/>
  <c r="Y9" s="1"/>
  <c r="Z9" s="1"/>
  <c r="AA9" s="1"/>
  <c r="AB9" s="1"/>
  <c r="AC9" s="1"/>
  <c r="AD9" s="1"/>
  <c r="AE9" s="1"/>
  <c r="AF9" s="1"/>
  <c r="AG9" s="1"/>
  <c r="AH9" s="1"/>
  <c r="AI9" s="1"/>
  <c r="AJ9" s="1"/>
  <c r="AK9" s="1"/>
  <c r="K10"/>
  <c r="L10" s="1"/>
  <c r="M10" s="1"/>
  <c r="N10" s="1"/>
  <c r="P10"/>
  <c r="Q10" l="1"/>
  <c r="R10" s="1"/>
  <c r="S10" s="1"/>
  <c r="T10" s="1"/>
  <c r="U10" s="1"/>
  <c r="V10" s="1"/>
  <c r="W10" s="1"/>
  <c r="X10" s="1"/>
  <c r="Y10" s="1"/>
  <c r="Z10" s="1"/>
  <c r="AA10" s="1"/>
  <c r="AB10" s="1"/>
  <c r="AC10" s="1"/>
  <c r="AD10" s="1"/>
  <c r="AE10" s="1"/>
  <c r="AF10" s="1"/>
  <c r="AG10" s="1"/>
  <c r="AH10" s="1"/>
  <c r="AI10" s="1"/>
  <c r="AJ10" s="1"/>
  <c r="AK10" s="1"/>
  <c r="K11"/>
  <c r="L11" s="1"/>
  <c r="M11" s="1"/>
  <c r="N11" s="1"/>
  <c r="P11"/>
  <c r="Q11" l="1"/>
  <c r="R11" s="1"/>
  <c r="S11" s="1"/>
  <c r="T11" s="1"/>
  <c r="U11" s="1"/>
  <c r="V11" s="1"/>
  <c r="W11" s="1"/>
  <c r="X11" s="1"/>
  <c r="Y11" s="1"/>
  <c r="Z11" s="1"/>
  <c r="AA11" s="1"/>
  <c r="AB11" s="1"/>
  <c r="AC11" s="1"/>
  <c r="AD11" s="1"/>
  <c r="AE11" s="1"/>
  <c r="AF11" s="1"/>
  <c r="AG11" s="1"/>
  <c r="AH11" s="1"/>
  <c r="AI11" s="1"/>
  <c r="AJ11" s="1"/>
  <c r="AK11" s="1"/>
</calcChain>
</file>

<file path=xl/sharedStrings.xml><?xml version="1.0" encoding="utf-8"?>
<sst xmlns="http://schemas.openxmlformats.org/spreadsheetml/2006/main" count="37" uniqueCount="13">
  <si>
    <t>L (m)</t>
  </si>
  <si>
    <t>B (m)</t>
  </si>
  <si>
    <t>H (m)</t>
  </si>
  <si>
    <t>E (GPa)</t>
  </si>
  <si>
    <t>ν</t>
  </si>
  <si>
    <r>
      <t>f</t>
    </r>
    <r>
      <rPr>
        <vertAlign val="subscript"/>
        <sz val="11"/>
        <color theme="1"/>
        <rFont val="Calibri"/>
        <family val="2"/>
      </rPr>
      <t>u</t>
    </r>
    <r>
      <rPr>
        <sz val="11"/>
        <color theme="1"/>
        <rFont val="Calibri"/>
        <family val="2"/>
      </rPr>
      <t xml:space="preserve"> (MPa)</t>
    </r>
  </si>
  <si>
    <t>A (m²)</t>
  </si>
  <si>
    <t>P (kN)</t>
  </si>
  <si>
    <t>σ (kPa)</t>
  </si>
  <si>
    <t>ε</t>
  </si>
  <si>
    <r>
      <t>u</t>
    </r>
    <r>
      <rPr>
        <vertAlign val="sub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(m)</t>
    </r>
  </si>
  <si>
    <r>
      <t>u</t>
    </r>
    <r>
      <rPr>
        <vertAlign val="subscript"/>
        <sz val="11"/>
        <color theme="1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 xml:space="preserve"> (m)</t>
    </r>
  </si>
  <si>
    <t>E/(1-v²) (GPa)</t>
  </si>
</sst>
</file>

<file path=xl/styles.xml><?xml version="1.0" encoding="utf-8"?>
<styleSheet xmlns="http://schemas.openxmlformats.org/spreadsheetml/2006/main">
  <numFmts count="2">
    <numFmt numFmtId="164" formatCode="0.0"/>
    <numFmt numFmtId="167" formatCode="0.00000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title>
      <c:tx>
        <c:rich>
          <a:bodyPr/>
          <a:lstStyle/>
          <a:p>
            <a:pPr>
              <a:defRPr sz="1600"/>
            </a:pPr>
            <a:r>
              <a:rPr lang="pt-BR" sz="1600"/>
              <a:t>Curva carga-desl</a:t>
            </a:r>
          </a:p>
        </c:rich>
      </c:tx>
      <c:layout>
        <c:manualLayout>
          <c:xMode val="edge"/>
          <c:yMode val="edge"/>
          <c:x val="0.22207230092818758"/>
          <c:y val="0"/>
        </c:manualLayout>
      </c:layout>
      <c:overlay val="1"/>
    </c:title>
    <c:plotArea>
      <c:layout>
        <c:manualLayout>
          <c:layoutTarget val="inner"/>
          <c:xMode val="edge"/>
          <c:yMode val="edge"/>
          <c:x val="9.9256798567008628E-2"/>
          <c:y val="9.1088194444444451E-2"/>
          <c:w val="0.75132193453834883"/>
          <c:h val="0.77088333333333336"/>
        </c:manualLayout>
      </c:layout>
      <c:scatterChart>
        <c:scatterStyle val="smoothMarker"/>
        <c:ser>
          <c:idx val="0"/>
          <c:order val="0"/>
          <c:xVal>
            <c:numRef>
              <c:f>Plan1!$N$2:$N$11</c:f>
              <c:numCache>
                <c:formatCode>0.00000</c:formatCode>
                <c:ptCount val="10"/>
                <c:pt idx="0">
                  <c:v>0</c:v>
                </c:pt>
                <c:pt idx="1">
                  <c:v>-1.7248E-4</c:v>
                </c:pt>
                <c:pt idx="2">
                  <c:v>-3.4496E-4</c:v>
                </c:pt>
                <c:pt idx="3">
                  <c:v>-5.1743999999999998E-4</c:v>
                </c:pt>
                <c:pt idx="4">
                  <c:v>-6.8992000000000001E-4</c:v>
                </c:pt>
                <c:pt idx="5">
                  <c:v>-8.6239999999999982E-4</c:v>
                </c:pt>
                <c:pt idx="6">
                  <c:v>-1.03488E-3</c:v>
                </c:pt>
                <c:pt idx="7">
                  <c:v>-1.2073599999999998E-3</c:v>
                </c:pt>
                <c:pt idx="8">
                  <c:v>-1.37984E-3</c:v>
                </c:pt>
                <c:pt idx="9">
                  <c:v>-1.5523199999999998E-3</c:v>
                </c:pt>
              </c:numCache>
            </c:numRef>
          </c:xVal>
          <c:yVal>
            <c:numRef>
              <c:f>Plan1!$H$2:$H$11</c:f>
              <c:numCache>
                <c:formatCode>General</c:formatCode>
                <c:ptCount val="10"/>
                <c:pt idx="0">
                  <c:v>0</c:v>
                </c:pt>
                <c:pt idx="1">
                  <c:v>7700</c:v>
                </c:pt>
                <c:pt idx="2">
                  <c:v>15400</c:v>
                </c:pt>
                <c:pt idx="3">
                  <c:v>23100</c:v>
                </c:pt>
                <c:pt idx="4">
                  <c:v>30800</c:v>
                </c:pt>
                <c:pt idx="5">
                  <c:v>38500</c:v>
                </c:pt>
                <c:pt idx="6">
                  <c:v>46200</c:v>
                </c:pt>
                <c:pt idx="7">
                  <c:v>53900</c:v>
                </c:pt>
                <c:pt idx="8">
                  <c:v>61600</c:v>
                </c:pt>
                <c:pt idx="9">
                  <c:v>69300</c:v>
                </c:pt>
              </c:numCache>
            </c:numRef>
          </c:yVal>
          <c:smooth val="1"/>
        </c:ser>
        <c:ser>
          <c:idx val="1"/>
          <c:order val="1"/>
          <c:xVal>
            <c:numRef>
              <c:f>Plan1!$E$43:$E$53</c:f>
              <c:numCache>
                <c:formatCode>0.00E+00</c:formatCode>
                <c:ptCount val="11"/>
                <c:pt idx="0" formatCode="General">
                  <c:v>0</c:v>
                </c:pt>
                <c:pt idx="1">
                  <c:v>-6.6147924508250095E-5</c:v>
                </c:pt>
                <c:pt idx="2">
                  <c:v>-1.3224179199473101E-4</c:v>
                </c:pt>
                <c:pt idx="3">
                  <c:v>-1.98281934538437E-4</c:v>
                </c:pt>
                <c:pt idx="4">
                  <c:v>-2.6426868102592501E-4</c:v>
                </c:pt>
                <c:pt idx="5">
                  <c:v>-3.3020235719159101E-4</c:v>
                </c:pt>
                <c:pt idx="6">
                  <c:v>-3.9608328565397398E-4</c:v>
                </c:pt>
                <c:pt idx="7">
                  <c:v>-4.6191178595340502E-4</c:v>
                </c:pt>
                <c:pt idx="8">
                  <c:v>-5.2768817458946702E-4</c:v>
                </c:pt>
                <c:pt idx="9">
                  <c:v>-5.9341276505640503E-4</c:v>
                </c:pt>
                <c:pt idx="10">
                  <c:v>-6.59085867879126E-4</c:v>
                </c:pt>
              </c:numCache>
            </c:numRef>
          </c:xVal>
          <c:yVal>
            <c:numRef>
              <c:f>Plan1!$D$43:$D$53</c:f>
              <c:numCache>
                <c:formatCode>General</c:formatCode>
                <c:ptCount val="11"/>
                <c:pt idx="0">
                  <c:v>0</c:v>
                </c:pt>
                <c:pt idx="1">
                  <c:v>6930</c:v>
                </c:pt>
                <c:pt idx="2">
                  <c:v>13860</c:v>
                </c:pt>
                <c:pt idx="3">
                  <c:v>20790</c:v>
                </c:pt>
                <c:pt idx="4">
                  <c:v>27720</c:v>
                </c:pt>
                <c:pt idx="5">
                  <c:v>34650</c:v>
                </c:pt>
                <c:pt idx="6">
                  <c:v>41580</c:v>
                </c:pt>
                <c:pt idx="7">
                  <c:v>48510</c:v>
                </c:pt>
                <c:pt idx="8">
                  <c:v>55440</c:v>
                </c:pt>
                <c:pt idx="9">
                  <c:v>62370</c:v>
                </c:pt>
                <c:pt idx="10">
                  <c:v>69300</c:v>
                </c:pt>
              </c:numCache>
            </c:numRef>
          </c:yVal>
          <c:smooth val="1"/>
        </c:ser>
        <c:ser>
          <c:idx val="2"/>
          <c:order val="2"/>
          <c:xVal>
            <c:numRef>
              <c:f>Plan1!$Q$43:$Q$53</c:f>
              <c:numCache>
                <c:formatCode>0.00E+00</c:formatCode>
                <c:ptCount val="11"/>
                <c:pt idx="0" formatCode="General">
                  <c:v>0</c:v>
                </c:pt>
                <c:pt idx="1">
                  <c:v>-3.8725636570389201E-5</c:v>
                </c:pt>
                <c:pt idx="2">
                  <c:v>-7.7442696223015907E-5</c:v>
                </c:pt>
                <c:pt idx="3">
                  <c:v>-1.16151247161425E-4</c:v>
                </c:pt>
                <c:pt idx="4">
                  <c:v>-1.5485135687270799E-4</c:v>
                </c:pt>
                <c:pt idx="5">
                  <c:v>-1.9354309213507999E-4</c:v>
                </c:pt>
                <c:pt idx="6">
                  <c:v>-2.3222651903155399E-4</c:v>
                </c:pt>
                <c:pt idx="7">
                  <c:v>-2.7090170295165699E-4</c:v>
                </c:pt>
                <c:pt idx="8">
                  <c:v>-3.0956870860914199E-4</c:v>
                </c:pt>
                <c:pt idx="9">
                  <c:v>-3.4822760004269999E-4</c:v>
                </c:pt>
                <c:pt idx="10">
                  <c:v>-3.8687844063154899E-4</c:v>
                </c:pt>
              </c:numCache>
            </c:numRef>
          </c:xVal>
          <c:yVal>
            <c:numRef>
              <c:f>Plan1!$P$43:$P$53</c:f>
              <c:numCache>
                <c:formatCode>General</c:formatCode>
                <c:ptCount val="11"/>
                <c:pt idx="0">
                  <c:v>0</c:v>
                </c:pt>
                <c:pt idx="1">
                  <c:v>6930</c:v>
                </c:pt>
                <c:pt idx="2">
                  <c:v>13860</c:v>
                </c:pt>
                <c:pt idx="3">
                  <c:v>20790</c:v>
                </c:pt>
                <c:pt idx="4">
                  <c:v>27720</c:v>
                </c:pt>
                <c:pt idx="5">
                  <c:v>34650</c:v>
                </c:pt>
                <c:pt idx="6">
                  <c:v>41580</c:v>
                </c:pt>
                <c:pt idx="7">
                  <c:v>48510</c:v>
                </c:pt>
                <c:pt idx="8">
                  <c:v>55440</c:v>
                </c:pt>
                <c:pt idx="9">
                  <c:v>62370</c:v>
                </c:pt>
                <c:pt idx="10">
                  <c:v>69300</c:v>
                </c:pt>
              </c:numCache>
            </c:numRef>
          </c:yVal>
          <c:smooth val="1"/>
        </c:ser>
        <c:axId val="19681664"/>
        <c:axId val="19671680"/>
      </c:scatterChart>
      <c:valAx>
        <c:axId val="196816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u (m)</a:t>
                </a:r>
              </a:p>
            </c:rich>
          </c:tx>
          <c:layout/>
        </c:title>
        <c:numFmt formatCode="0.0000" sourceLinked="0"/>
        <c:majorTickMark val="cross"/>
        <c:tickLblPos val="nextTo"/>
        <c:spPr>
          <a:ln>
            <a:solidFill>
              <a:sysClr val="windowText" lastClr="000000"/>
            </a:solidFill>
          </a:ln>
        </c:spPr>
        <c:crossAx val="19671680"/>
        <c:crosses val="autoZero"/>
        <c:crossBetween val="midCat"/>
      </c:valAx>
      <c:valAx>
        <c:axId val="19671680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pt-BR"/>
                  <a:t>Carga (kN)</a:t>
                </a:r>
              </a:p>
            </c:rich>
          </c:tx>
          <c:layout>
            <c:manualLayout>
              <c:xMode val="edge"/>
              <c:yMode val="edge"/>
              <c:x val="3.2776420778374833E-3"/>
              <c:y val="0.35011388888888889"/>
            </c:manualLayout>
          </c:layout>
        </c:title>
        <c:numFmt formatCode="General" sourceLinked="1"/>
        <c:majorTickMark val="cross"/>
        <c:tickLblPos val="high"/>
        <c:spPr>
          <a:ln>
            <a:solidFill>
              <a:sysClr val="windowText" lastClr="000000"/>
            </a:solidFill>
          </a:ln>
        </c:spPr>
        <c:crossAx val="19681664"/>
        <c:crosses val="autoZero"/>
        <c:crossBetween val="midCat"/>
      </c:valAx>
    </c:plotArea>
    <c:plotVisOnly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title>
      <c:tx>
        <c:rich>
          <a:bodyPr/>
          <a:lstStyle/>
          <a:p>
            <a:pPr>
              <a:defRPr sz="1600"/>
            </a:pPr>
            <a:r>
              <a:rPr lang="pt-BR" sz="1600"/>
              <a:t>Curva carga-desl</a:t>
            </a:r>
          </a:p>
        </c:rich>
      </c:tx>
      <c:layout>
        <c:manualLayout>
          <c:xMode val="edge"/>
          <c:yMode val="edge"/>
          <c:x val="0.29209236111111109"/>
          <c:y val="0"/>
        </c:manualLayout>
      </c:layout>
      <c:overlay val="1"/>
    </c:title>
    <c:plotArea>
      <c:layout>
        <c:manualLayout>
          <c:layoutTarget val="inner"/>
          <c:xMode val="edge"/>
          <c:yMode val="edge"/>
          <c:x val="0.2273607638888889"/>
          <c:y val="9.1088194444444451E-2"/>
          <c:w val="0.67356388888888896"/>
          <c:h val="0.744425"/>
        </c:manualLayout>
      </c:layout>
      <c:scatterChart>
        <c:scatterStyle val="smoothMarker"/>
        <c:ser>
          <c:idx val="0"/>
          <c:order val="0"/>
          <c:xVal>
            <c:numRef>
              <c:f>Plan1!$M$2:$M$11</c:f>
              <c:numCache>
                <c:formatCode>0.00000</c:formatCode>
                <c:ptCount val="10"/>
                <c:pt idx="0">
                  <c:v>0</c:v>
                </c:pt>
                <c:pt idx="1">
                  <c:v>8.6239999999999993E-4</c:v>
                </c:pt>
                <c:pt idx="2">
                  <c:v>1.7247999999999999E-3</c:v>
                </c:pt>
                <c:pt idx="3">
                  <c:v>2.5871999999999996E-3</c:v>
                </c:pt>
                <c:pt idx="4">
                  <c:v>3.4495999999999997E-3</c:v>
                </c:pt>
                <c:pt idx="5">
                  <c:v>4.311999999999999E-3</c:v>
                </c:pt>
                <c:pt idx="6">
                  <c:v>5.1743999999999991E-3</c:v>
                </c:pt>
                <c:pt idx="7">
                  <c:v>6.0367999999999984E-3</c:v>
                </c:pt>
                <c:pt idx="8">
                  <c:v>6.8991999999999994E-3</c:v>
                </c:pt>
                <c:pt idx="9">
                  <c:v>7.7615999999999987E-3</c:v>
                </c:pt>
              </c:numCache>
            </c:numRef>
          </c:xVal>
          <c:yVal>
            <c:numRef>
              <c:f>Plan1!$H$2:$H$11</c:f>
              <c:numCache>
                <c:formatCode>General</c:formatCode>
                <c:ptCount val="10"/>
                <c:pt idx="0">
                  <c:v>0</c:v>
                </c:pt>
                <c:pt idx="1">
                  <c:v>7700</c:v>
                </c:pt>
                <c:pt idx="2">
                  <c:v>15400</c:v>
                </c:pt>
                <c:pt idx="3">
                  <c:v>23100</c:v>
                </c:pt>
                <c:pt idx="4">
                  <c:v>30800</c:v>
                </c:pt>
                <c:pt idx="5">
                  <c:v>38500</c:v>
                </c:pt>
                <c:pt idx="6">
                  <c:v>46200</c:v>
                </c:pt>
                <c:pt idx="7">
                  <c:v>53900</c:v>
                </c:pt>
                <c:pt idx="8">
                  <c:v>61600</c:v>
                </c:pt>
                <c:pt idx="9">
                  <c:v>69300</c:v>
                </c:pt>
              </c:numCache>
            </c:numRef>
          </c:yVal>
          <c:smooth val="1"/>
        </c:ser>
        <c:ser>
          <c:idx val="1"/>
          <c:order val="1"/>
          <c:xVal>
            <c:numRef>
              <c:f>Plan1!$E$31:$E$41</c:f>
              <c:numCache>
                <c:formatCode>0.00E+00</c:formatCode>
                <c:ptCount val="11"/>
                <c:pt idx="0" formatCode="General">
                  <c:v>0</c:v>
                </c:pt>
                <c:pt idx="1">
                  <c:v>7.8867277390913505E-4</c:v>
                </c:pt>
                <c:pt idx="2" formatCode="General">
                  <c:v>1.5775666683365899E-3</c:v>
                </c:pt>
                <c:pt idx="3" formatCode="General">
                  <c:v>2.3666817721524902E-3</c:v>
                </c:pt>
                <c:pt idx="4" formatCode="General">
                  <c:v>3.1560181742718999E-3</c:v>
                </c:pt>
                <c:pt idx="5" formatCode="General">
                  <c:v>3.9455759636551502E-3</c:v>
                </c:pt>
                <c:pt idx="6" formatCode="General">
                  <c:v>4.73535522930756E-3</c:v>
                </c:pt>
                <c:pt idx="7" formatCode="General">
                  <c:v>5.5253560602801797E-3</c:v>
                </c:pt>
                <c:pt idx="8" formatCode="General">
                  <c:v>6.3155785456693904E-3</c:v>
                </c:pt>
                <c:pt idx="9" formatCode="General">
                  <c:v>7.1060227746170199E-3</c:v>
                </c:pt>
                <c:pt idx="10" formatCode="General">
                  <c:v>7.8966888363109899E-3</c:v>
                </c:pt>
              </c:numCache>
            </c:numRef>
          </c:xVal>
          <c:yVal>
            <c:numRef>
              <c:f>Plan1!$D$31:$D$41</c:f>
              <c:numCache>
                <c:formatCode>General</c:formatCode>
                <c:ptCount val="11"/>
                <c:pt idx="0">
                  <c:v>0</c:v>
                </c:pt>
                <c:pt idx="1">
                  <c:v>6930</c:v>
                </c:pt>
                <c:pt idx="2">
                  <c:v>13860</c:v>
                </c:pt>
                <c:pt idx="3">
                  <c:v>20790</c:v>
                </c:pt>
                <c:pt idx="4">
                  <c:v>27720</c:v>
                </c:pt>
                <c:pt idx="5">
                  <c:v>34650</c:v>
                </c:pt>
                <c:pt idx="6">
                  <c:v>41580</c:v>
                </c:pt>
                <c:pt idx="7">
                  <c:v>48510</c:v>
                </c:pt>
                <c:pt idx="8">
                  <c:v>55440</c:v>
                </c:pt>
                <c:pt idx="9">
                  <c:v>62370</c:v>
                </c:pt>
                <c:pt idx="10">
                  <c:v>69300</c:v>
                </c:pt>
              </c:numCache>
            </c:numRef>
          </c:yVal>
          <c:smooth val="1"/>
        </c:ser>
        <c:ser>
          <c:idx val="2"/>
          <c:order val="2"/>
          <c:xVal>
            <c:numRef>
              <c:f>Plan1!$Q$31:$Q$41</c:f>
              <c:numCache>
                <c:formatCode>0.00E+00</c:formatCode>
                <c:ptCount val="11"/>
                <c:pt idx="0" formatCode="General">
                  <c:v>0</c:v>
                </c:pt>
                <c:pt idx="1">
                  <c:v>8.38809347750826E-4</c:v>
                </c:pt>
                <c:pt idx="2" formatCode="General">
                  <c:v>1.67786208850852E-3</c:v>
                </c:pt>
                <c:pt idx="3" formatCode="General">
                  <c:v>2.5171583259370302E-3</c:v>
                </c:pt>
                <c:pt idx="4" formatCode="General">
                  <c:v>3.35669816375927E-3</c:v>
                </c:pt>
                <c:pt idx="5" formatCode="General">
                  <c:v>4.1964817057582298E-3</c:v>
                </c:pt>
                <c:pt idx="6" formatCode="General">
                  <c:v>5.0365090557750302E-3</c:v>
                </c:pt>
                <c:pt idx="7" formatCode="General">
                  <c:v>5.8767803177109798E-3</c:v>
                </c:pt>
                <c:pt idx="8" formatCode="General">
                  <c:v>6.71729559552666E-3</c:v>
                </c:pt>
                <c:pt idx="9" formatCode="General">
                  <c:v>7.5580549932427197E-3</c:v>
                </c:pt>
                <c:pt idx="10" formatCode="General">
                  <c:v>8.3990586149394995E-3</c:v>
                </c:pt>
              </c:numCache>
            </c:numRef>
          </c:xVal>
          <c:yVal>
            <c:numRef>
              <c:f>Plan1!$P$31:$P$41</c:f>
              <c:numCache>
                <c:formatCode>General</c:formatCode>
                <c:ptCount val="11"/>
                <c:pt idx="0">
                  <c:v>0</c:v>
                </c:pt>
                <c:pt idx="1">
                  <c:v>6930</c:v>
                </c:pt>
                <c:pt idx="2">
                  <c:v>13860</c:v>
                </c:pt>
                <c:pt idx="3">
                  <c:v>20790</c:v>
                </c:pt>
                <c:pt idx="4">
                  <c:v>27720</c:v>
                </c:pt>
                <c:pt idx="5">
                  <c:v>34650</c:v>
                </c:pt>
                <c:pt idx="6">
                  <c:v>41580</c:v>
                </c:pt>
                <c:pt idx="7">
                  <c:v>48510</c:v>
                </c:pt>
                <c:pt idx="8">
                  <c:v>55440</c:v>
                </c:pt>
                <c:pt idx="9">
                  <c:v>62370</c:v>
                </c:pt>
                <c:pt idx="10">
                  <c:v>69300</c:v>
                </c:pt>
              </c:numCache>
            </c:numRef>
          </c:yVal>
          <c:smooth val="1"/>
        </c:ser>
        <c:axId val="112634496"/>
        <c:axId val="112644480"/>
      </c:scatterChart>
      <c:valAx>
        <c:axId val="1126344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u (m)</a:t>
                </a:r>
              </a:p>
            </c:rich>
          </c:tx>
          <c:layout/>
        </c:title>
        <c:numFmt formatCode="0.000" sourceLinked="0"/>
        <c:majorTickMark val="cross"/>
        <c:tickLblPos val="nextTo"/>
        <c:spPr>
          <a:ln>
            <a:solidFill>
              <a:sysClr val="windowText" lastClr="000000"/>
            </a:solidFill>
          </a:ln>
        </c:spPr>
        <c:crossAx val="112644480"/>
        <c:crosses val="autoZero"/>
        <c:crossBetween val="midCat"/>
        <c:majorUnit val="2.0000000000000005E-3"/>
      </c:valAx>
      <c:valAx>
        <c:axId val="112644480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pt-BR"/>
                  <a:t>Carga (kN)</a:t>
                </a:r>
              </a:p>
            </c:rich>
          </c:tx>
          <c:layout/>
        </c:title>
        <c:numFmt formatCode="General" sourceLinked="1"/>
        <c:majorTickMark val="cross"/>
        <c:tickLblPos val="nextTo"/>
        <c:spPr>
          <a:ln>
            <a:solidFill>
              <a:sysClr val="windowText" lastClr="000000"/>
            </a:solidFill>
          </a:ln>
        </c:spPr>
        <c:crossAx val="112634496"/>
        <c:crosses val="autoZero"/>
        <c:crossBetween val="midCat"/>
      </c:valAx>
    </c:plotArea>
    <c:plotVisOnly val="1"/>
  </c:chart>
  <c:printSettings>
    <c:headerFooter/>
    <c:pageMargins b="0.78740157499999996" l="0.511811024" r="0.511811024" t="0.78740157499999996" header="0.31496062000000008" footer="0.31496062000000008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title>
      <c:tx>
        <c:rich>
          <a:bodyPr/>
          <a:lstStyle/>
          <a:p>
            <a:pPr>
              <a:defRPr sz="1600"/>
            </a:pPr>
            <a:r>
              <a:rPr lang="pt-BR" sz="1600"/>
              <a:t>Curva carga-desl</a:t>
            </a:r>
          </a:p>
        </c:rich>
      </c:tx>
      <c:layout>
        <c:manualLayout>
          <c:xMode val="edge"/>
          <c:yMode val="edge"/>
          <c:x val="0.25017749552190199"/>
          <c:y val="0"/>
        </c:manualLayout>
      </c:layout>
      <c:overlay val="1"/>
    </c:title>
    <c:plotArea>
      <c:layout>
        <c:manualLayout>
          <c:layoutTarget val="inner"/>
          <c:xMode val="edge"/>
          <c:yMode val="edge"/>
          <c:x val="9.9256798567008628E-2"/>
          <c:y val="9.1088194444444451E-2"/>
          <c:w val="0.80781468816153723"/>
          <c:h val="0.76647361111111112"/>
        </c:manualLayout>
      </c:layout>
      <c:scatterChart>
        <c:scatterStyle val="smoothMarker"/>
        <c:ser>
          <c:idx val="0"/>
          <c:order val="0"/>
          <c:xVal>
            <c:numRef>
              <c:f>Plan1!$AM$2:$AM$11</c:f>
              <c:numCache>
                <c:formatCode>0.00000</c:formatCode>
                <c:ptCount val="10"/>
                <c:pt idx="0">
                  <c:v>0</c:v>
                </c:pt>
                <c:pt idx="1">
                  <c:v>-1.8453120459061876E-4</c:v>
                </c:pt>
                <c:pt idx="2">
                  <c:v>-3.7995726524992662E-4</c:v>
                </c:pt>
                <c:pt idx="3">
                  <c:v>-5.8847119196595965E-4</c:v>
                </c:pt>
                <c:pt idx="4">
                  <c:v>-8.1311828803346149E-4</c:v>
                </c:pt>
                <c:pt idx="5">
                  <c:v>-1.0583475490985178E-3</c:v>
                </c:pt>
                <c:pt idx="6">
                  <c:v>-1.3311292042394558E-3</c:v>
                </c:pt>
                <c:pt idx="7">
                  <c:v>-1.6435671475871852E-3</c:v>
                </c:pt>
                <c:pt idx="8">
                  <c:v>-2.0205267198693429E-3</c:v>
                </c:pt>
                <c:pt idx="9">
                  <c:v>-2.5329476528017842E-3</c:v>
                </c:pt>
              </c:numCache>
            </c:numRef>
          </c:xVal>
          <c:yVal>
            <c:numRef>
              <c:f>Plan1!$H$2:$H$11</c:f>
              <c:numCache>
                <c:formatCode>General</c:formatCode>
                <c:ptCount val="10"/>
                <c:pt idx="0">
                  <c:v>0</c:v>
                </c:pt>
                <c:pt idx="1">
                  <c:v>7700</c:v>
                </c:pt>
                <c:pt idx="2">
                  <c:v>15400</c:v>
                </c:pt>
                <c:pt idx="3">
                  <c:v>23100</c:v>
                </c:pt>
                <c:pt idx="4">
                  <c:v>30800</c:v>
                </c:pt>
                <c:pt idx="5">
                  <c:v>38500</c:v>
                </c:pt>
                <c:pt idx="6">
                  <c:v>46200</c:v>
                </c:pt>
                <c:pt idx="7">
                  <c:v>53900</c:v>
                </c:pt>
                <c:pt idx="8">
                  <c:v>61600</c:v>
                </c:pt>
                <c:pt idx="9">
                  <c:v>69300</c:v>
                </c:pt>
              </c:numCache>
            </c:numRef>
          </c:yVal>
          <c:smooth val="1"/>
        </c:ser>
        <c:ser>
          <c:idx val="1"/>
          <c:order val="1"/>
          <c:xVal>
            <c:numRef>
              <c:f>Plan1!$K$43:$K$53</c:f>
              <c:numCache>
                <c:formatCode>0.00E+00</c:formatCode>
                <c:ptCount val="11"/>
                <c:pt idx="0" formatCode="General">
                  <c:v>0</c:v>
                </c:pt>
                <c:pt idx="1">
                  <c:v>-3.9740356897201898E-5</c:v>
                </c:pt>
                <c:pt idx="2">
                  <c:v>-8.1798314736803804E-5</c:v>
                </c:pt>
                <c:pt idx="3">
                  <c:v>-1.2662445445963099E-4</c:v>
                </c:pt>
                <c:pt idx="4">
                  <c:v>-1.74834092028232E-4</c:v>
                </c:pt>
                <c:pt idx="5">
                  <c:v>-2.2730443084135901E-4</c:v>
                </c:pt>
                <c:pt idx="6">
                  <c:v>-2.8535891477805299E-4</c:v>
                </c:pt>
                <c:pt idx="7">
                  <c:v>-3.5115623033715499E-4</c:v>
                </c:pt>
                <c:pt idx="8">
                  <c:v>-4.2864302706828997E-4</c:v>
                </c:pt>
                <c:pt idx="9">
                  <c:v>-5.2647418836870505E-4</c:v>
                </c:pt>
                <c:pt idx="10">
                  <c:v>-6.7213876171147901E-4</c:v>
                </c:pt>
              </c:numCache>
            </c:numRef>
          </c:xVal>
          <c:yVal>
            <c:numRef>
              <c:f>Plan1!$J$43:$J$53</c:f>
              <c:numCache>
                <c:formatCode>General</c:formatCode>
                <c:ptCount val="11"/>
                <c:pt idx="0">
                  <c:v>0</c:v>
                </c:pt>
                <c:pt idx="1">
                  <c:v>6930</c:v>
                </c:pt>
                <c:pt idx="2">
                  <c:v>13860</c:v>
                </c:pt>
                <c:pt idx="3">
                  <c:v>20790</c:v>
                </c:pt>
                <c:pt idx="4">
                  <c:v>27720</c:v>
                </c:pt>
                <c:pt idx="5">
                  <c:v>34650</c:v>
                </c:pt>
                <c:pt idx="6">
                  <c:v>41580</c:v>
                </c:pt>
                <c:pt idx="7">
                  <c:v>48510</c:v>
                </c:pt>
                <c:pt idx="8">
                  <c:v>55440</c:v>
                </c:pt>
                <c:pt idx="9">
                  <c:v>62370</c:v>
                </c:pt>
                <c:pt idx="10">
                  <c:v>69300</c:v>
                </c:pt>
              </c:numCache>
            </c:numRef>
          </c:yVal>
          <c:smooth val="1"/>
        </c:ser>
        <c:ser>
          <c:idx val="2"/>
          <c:order val="2"/>
          <c:xVal>
            <c:numRef>
              <c:f>Plan1!$V$43:$V$53</c:f>
              <c:numCache>
                <c:formatCode>0.00E+00</c:formatCode>
                <c:ptCount val="11"/>
                <c:pt idx="0" formatCode="General">
                  <c:v>0</c:v>
                </c:pt>
                <c:pt idx="1">
                  <c:v>-3.9765701208236999E-5</c:v>
                </c:pt>
                <c:pt idx="2">
                  <c:v>-8.1845975547301903E-5</c:v>
                </c:pt>
                <c:pt idx="3">
                  <c:v>-1.26695185273993E-4</c:v>
                </c:pt>
                <c:pt idx="4">
                  <c:v>-1.7493760640103099E-4</c:v>
                </c:pt>
                <c:pt idx="5">
                  <c:v>-2.2747147235889899E-4</c:v>
                </c:pt>
                <c:pt idx="6">
                  <c:v>-2.8567184087970499E-4</c:v>
                </c:pt>
                <c:pt idx="7">
                  <c:v>-3.5183689511593597E-4</c:v>
                </c:pt>
                <c:pt idx="8">
                  <c:v>-4.30358624910906E-4</c:v>
                </c:pt>
                <c:pt idx="9">
                  <c:v>-5.3178674862710597E-4</c:v>
                </c:pt>
                <c:pt idx="10">
                  <c:v>-6.9667518785002005E-4</c:v>
                </c:pt>
              </c:numCache>
            </c:numRef>
          </c:xVal>
          <c:yVal>
            <c:numRef>
              <c:f>Plan1!$U$43:$U$53</c:f>
              <c:numCache>
                <c:formatCode>General</c:formatCode>
                <c:ptCount val="11"/>
                <c:pt idx="0">
                  <c:v>0</c:v>
                </c:pt>
                <c:pt idx="1">
                  <c:v>6930</c:v>
                </c:pt>
                <c:pt idx="2">
                  <c:v>13860</c:v>
                </c:pt>
                <c:pt idx="3">
                  <c:v>20790</c:v>
                </c:pt>
                <c:pt idx="4">
                  <c:v>27720</c:v>
                </c:pt>
                <c:pt idx="5">
                  <c:v>34650</c:v>
                </c:pt>
                <c:pt idx="6">
                  <c:v>41580</c:v>
                </c:pt>
                <c:pt idx="7">
                  <c:v>48510</c:v>
                </c:pt>
                <c:pt idx="8">
                  <c:v>55440</c:v>
                </c:pt>
                <c:pt idx="9">
                  <c:v>62370</c:v>
                </c:pt>
                <c:pt idx="10">
                  <c:v>69300</c:v>
                </c:pt>
              </c:numCache>
            </c:numRef>
          </c:yVal>
          <c:smooth val="1"/>
        </c:ser>
        <c:axId val="66224512"/>
        <c:axId val="66261376"/>
      </c:scatterChart>
      <c:valAx>
        <c:axId val="662245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u (m)</a:t>
                </a:r>
              </a:p>
            </c:rich>
          </c:tx>
          <c:layout/>
        </c:title>
        <c:numFmt formatCode="0.0000" sourceLinked="0"/>
        <c:majorTickMark val="cross"/>
        <c:tickLblPos val="nextTo"/>
        <c:spPr>
          <a:ln>
            <a:solidFill>
              <a:sysClr val="windowText" lastClr="000000"/>
            </a:solidFill>
          </a:ln>
        </c:spPr>
        <c:crossAx val="66261376"/>
        <c:crosses val="autoZero"/>
        <c:crossBetween val="midCat"/>
        <c:majorUnit val="1.0000000000000002E-3"/>
      </c:valAx>
      <c:valAx>
        <c:axId val="66261376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pt-BR"/>
                  <a:t>Carga (kN)</a:t>
                </a:r>
              </a:p>
            </c:rich>
          </c:tx>
          <c:layout>
            <c:manualLayout>
              <c:xMode val="edge"/>
              <c:yMode val="edge"/>
              <c:x val="0"/>
              <c:y val="0.36554791666666664"/>
            </c:manualLayout>
          </c:layout>
        </c:title>
        <c:numFmt formatCode="General" sourceLinked="1"/>
        <c:majorTickMark val="cross"/>
        <c:tickLblPos val="high"/>
        <c:spPr>
          <a:ln>
            <a:solidFill>
              <a:sysClr val="windowText" lastClr="000000"/>
            </a:solidFill>
          </a:ln>
        </c:spPr>
        <c:crossAx val="66224512"/>
        <c:crosses val="autoZero"/>
        <c:crossBetween val="midCat"/>
      </c:valAx>
    </c:plotArea>
    <c:plotVisOnly val="1"/>
  </c:chart>
  <c:printSettings>
    <c:headerFooter/>
    <c:pageMargins b="0.78740157499999996" l="0.511811024" r="0.511811024" t="0.78740157499999996" header="0.31496062000000014" footer="0.3149606200000001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title>
      <c:tx>
        <c:rich>
          <a:bodyPr/>
          <a:lstStyle/>
          <a:p>
            <a:pPr>
              <a:defRPr sz="1600"/>
            </a:pPr>
            <a:r>
              <a:rPr lang="pt-BR" sz="1600"/>
              <a:t>Curva carga-desl</a:t>
            </a:r>
          </a:p>
        </c:rich>
      </c:tx>
      <c:layout>
        <c:manualLayout>
          <c:xMode val="edge"/>
          <c:yMode val="edge"/>
          <c:x val="0.27334027777777775"/>
          <c:y val="0"/>
        </c:manualLayout>
      </c:layout>
      <c:overlay val="1"/>
    </c:title>
    <c:plotArea>
      <c:layout>
        <c:manualLayout>
          <c:layoutTarget val="inner"/>
          <c:xMode val="edge"/>
          <c:yMode val="edge"/>
          <c:x val="0.24058993055555555"/>
          <c:y val="9.9907638888888886E-2"/>
          <c:w val="0.66033472222222234"/>
          <c:h val="0.76647361111111112"/>
        </c:manualLayout>
      </c:layout>
      <c:scatterChart>
        <c:scatterStyle val="smoothMarker"/>
        <c:ser>
          <c:idx val="0"/>
          <c:order val="0"/>
          <c:xVal>
            <c:numRef>
              <c:f>Plan1!$AL$2:$AL$11</c:f>
              <c:numCache>
                <c:formatCode>0.00000</c:formatCode>
                <c:ptCount val="10"/>
                <c:pt idx="0">
                  <c:v>0</c:v>
                </c:pt>
                <c:pt idx="1">
                  <c:v>9.2265602295309374E-4</c:v>
                </c:pt>
                <c:pt idx="2">
                  <c:v>1.8997863262496329E-3</c:v>
                </c:pt>
                <c:pt idx="3">
                  <c:v>2.9423559598297979E-3</c:v>
                </c:pt>
                <c:pt idx="4">
                  <c:v>4.0655914401673075E-3</c:v>
                </c:pt>
                <c:pt idx="5">
                  <c:v>5.291737745492589E-3</c:v>
                </c:pt>
                <c:pt idx="6">
                  <c:v>6.6556460211972786E-3</c:v>
                </c:pt>
                <c:pt idx="7">
                  <c:v>8.2178357379359256E-3</c:v>
                </c:pt>
                <c:pt idx="8">
                  <c:v>1.0102633599346714E-2</c:v>
                </c:pt>
                <c:pt idx="9">
                  <c:v>1.2664738264008921E-2</c:v>
                </c:pt>
              </c:numCache>
            </c:numRef>
          </c:xVal>
          <c:yVal>
            <c:numRef>
              <c:f>Plan1!$H$2:$H$11</c:f>
              <c:numCache>
                <c:formatCode>General</c:formatCode>
                <c:ptCount val="10"/>
                <c:pt idx="0">
                  <c:v>0</c:v>
                </c:pt>
                <c:pt idx="1">
                  <c:v>7700</c:v>
                </c:pt>
                <c:pt idx="2">
                  <c:v>15400</c:v>
                </c:pt>
                <c:pt idx="3">
                  <c:v>23100</c:v>
                </c:pt>
                <c:pt idx="4">
                  <c:v>30800</c:v>
                </c:pt>
                <c:pt idx="5">
                  <c:v>38500</c:v>
                </c:pt>
                <c:pt idx="6">
                  <c:v>46200</c:v>
                </c:pt>
                <c:pt idx="7">
                  <c:v>53900</c:v>
                </c:pt>
                <c:pt idx="8">
                  <c:v>61600</c:v>
                </c:pt>
                <c:pt idx="9">
                  <c:v>69300</c:v>
                </c:pt>
              </c:numCache>
            </c:numRef>
          </c:yVal>
          <c:smooth val="1"/>
        </c:ser>
        <c:ser>
          <c:idx val="1"/>
          <c:order val="1"/>
          <c:xVal>
            <c:numRef>
              <c:f>Plan1!$K$31:$K$41</c:f>
              <c:numCache>
                <c:formatCode>0.00E+00</c:formatCode>
                <c:ptCount val="11"/>
                <c:pt idx="0" formatCode="General">
                  <c:v>0</c:v>
                </c:pt>
                <c:pt idx="1">
                  <c:v>8.0754895518710503E-4</c:v>
                </c:pt>
                <c:pt idx="2" formatCode="General">
                  <c:v>1.6570582836626601E-3</c:v>
                </c:pt>
                <c:pt idx="3" formatCode="General">
                  <c:v>2.5558217156309098E-3</c:v>
                </c:pt>
                <c:pt idx="4" formatCode="General">
                  <c:v>3.5135353674884298E-3</c:v>
                </c:pt>
                <c:pt idx="5" formatCode="General">
                  <c:v>4.5435811816797698E-3</c:v>
                </c:pt>
                <c:pt idx="6" formatCode="General">
                  <c:v>5.6653583942130699E-3</c:v>
                </c:pt>
                <c:pt idx="7" formatCode="General">
                  <c:v>6.9089526611642001E-3</c:v>
                </c:pt>
                <c:pt idx="8" formatCode="General">
                  <c:v>8.3258727662082806E-3</c:v>
                </c:pt>
                <c:pt idx="9" formatCode="General">
                  <c:v>1.0019636820974899E-2</c:v>
                </c:pt>
                <c:pt idx="10" formatCode="General">
                  <c:v>1.2286106245138101E-2</c:v>
                </c:pt>
              </c:numCache>
            </c:numRef>
          </c:xVal>
          <c:yVal>
            <c:numRef>
              <c:f>Plan1!$J$31:$J$41</c:f>
              <c:numCache>
                <c:formatCode>General</c:formatCode>
                <c:ptCount val="11"/>
                <c:pt idx="0">
                  <c:v>0</c:v>
                </c:pt>
                <c:pt idx="1">
                  <c:v>6930</c:v>
                </c:pt>
                <c:pt idx="2">
                  <c:v>13860</c:v>
                </c:pt>
                <c:pt idx="3">
                  <c:v>20790</c:v>
                </c:pt>
                <c:pt idx="4">
                  <c:v>27720</c:v>
                </c:pt>
                <c:pt idx="5">
                  <c:v>34650</c:v>
                </c:pt>
                <c:pt idx="6">
                  <c:v>41580</c:v>
                </c:pt>
                <c:pt idx="7">
                  <c:v>48510</c:v>
                </c:pt>
                <c:pt idx="8">
                  <c:v>55440</c:v>
                </c:pt>
                <c:pt idx="9">
                  <c:v>62370</c:v>
                </c:pt>
                <c:pt idx="10">
                  <c:v>69300</c:v>
                </c:pt>
              </c:numCache>
            </c:numRef>
          </c:yVal>
          <c:smooth val="1"/>
        </c:ser>
        <c:ser>
          <c:idx val="2"/>
          <c:order val="2"/>
          <c:xVal>
            <c:numRef>
              <c:f>Plan1!$V$31:$V$41</c:f>
              <c:numCache>
                <c:formatCode>0.00E+00</c:formatCode>
                <c:ptCount val="11"/>
                <c:pt idx="0" formatCode="General">
                  <c:v>0</c:v>
                </c:pt>
                <c:pt idx="1">
                  <c:v>8.6010295043293902E-4</c:v>
                </c:pt>
                <c:pt idx="2" formatCode="General">
                  <c:v>1.76772715582586E-3</c:v>
                </c:pt>
                <c:pt idx="3" formatCode="General">
                  <c:v>2.7317046617177502E-3</c:v>
                </c:pt>
                <c:pt idx="4" formatCode="General">
                  <c:v>3.7640018244501799E-3</c:v>
                </c:pt>
                <c:pt idx="5" formatCode="General">
                  <c:v>4.8815424254001899E-3</c:v>
                </c:pt>
                <c:pt idx="6" formatCode="General">
                  <c:v>6.1096754618957397E-3</c:v>
                </c:pt>
                <c:pt idx="7" formatCode="General">
                  <c:v>7.4895703170550004E-3</c:v>
                </c:pt>
                <c:pt idx="8" formatCode="General">
                  <c:v>9.0968417557904194E-3</c:v>
                </c:pt>
                <c:pt idx="9" formatCode="General">
                  <c:v>1.11026772099124E-2</c:v>
                </c:pt>
                <c:pt idx="10" formatCode="General">
                  <c:v>1.41034473399838E-2</c:v>
                </c:pt>
              </c:numCache>
            </c:numRef>
          </c:xVal>
          <c:yVal>
            <c:numRef>
              <c:f>Plan1!$U$31:$U$41</c:f>
              <c:numCache>
                <c:formatCode>General</c:formatCode>
                <c:ptCount val="11"/>
                <c:pt idx="0">
                  <c:v>0</c:v>
                </c:pt>
                <c:pt idx="1">
                  <c:v>6930</c:v>
                </c:pt>
                <c:pt idx="2">
                  <c:v>13860</c:v>
                </c:pt>
                <c:pt idx="3">
                  <c:v>20790</c:v>
                </c:pt>
                <c:pt idx="4">
                  <c:v>27720</c:v>
                </c:pt>
                <c:pt idx="5">
                  <c:v>34650</c:v>
                </c:pt>
                <c:pt idx="6">
                  <c:v>41580</c:v>
                </c:pt>
                <c:pt idx="7">
                  <c:v>48510</c:v>
                </c:pt>
                <c:pt idx="8">
                  <c:v>55440</c:v>
                </c:pt>
                <c:pt idx="9">
                  <c:v>62370</c:v>
                </c:pt>
                <c:pt idx="10">
                  <c:v>69300</c:v>
                </c:pt>
              </c:numCache>
            </c:numRef>
          </c:yVal>
          <c:smooth val="1"/>
        </c:ser>
        <c:axId val="66422656"/>
        <c:axId val="66424192"/>
      </c:scatterChart>
      <c:valAx>
        <c:axId val="664226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u (m)</a:t>
                </a:r>
              </a:p>
            </c:rich>
          </c:tx>
          <c:layout/>
        </c:title>
        <c:numFmt formatCode="0.000" sourceLinked="0"/>
        <c:majorTickMark val="cross"/>
        <c:tickLblPos val="nextTo"/>
        <c:spPr>
          <a:ln>
            <a:solidFill>
              <a:sysClr val="windowText" lastClr="000000"/>
            </a:solidFill>
          </a:ln>
        </c:spPr>
        <c:crossAx val="66424192"/>
        <c:crosses val="autoZero"/>
        <c:crossBetween val="midCat"/>
      </c:valAx>
      <c:valAx>
        <c:axId val="6642419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pt-BR"/>
                  <a:t>Carga (kN)</a:t>
                </a:r>
              </a:p>
            </c:rich>
          </c:tx>
          <c:layout/>
        </c:title>
        <c:numFmt formatCode="General" sourceLinked="1"/>
        <c:majorTickMark val="cross"/>
        <c:tickLblPos val="nextTo"/>
        <c:spPr>
          <a:ln>
            <a:solidFill>
              <a:sysClr val="windowText" lastClr="000000"/>
            </a:solidFill>
          </a:ln>
        </c:spPr>
        <c:crossAx val="66422656"/>
        <c:crosses val="autoZero"/>
        <c:crossBetween val="midCat"/>
      </c:valAx>
    </c:plotArea>
    <c:plotVisOnly val="1"/>
  </c:chart>
  <c:printSettings>
    <c:headerFooter/>
    <c:pageMargins b="0.78740157499999996" l="0.511811024" r="0.511811024" t="0.78740157499999996" header="0.31496062000000025" footer="0.3149606200000002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title>
      <c:tx>
        <c:rich>
          <a:bodyPr/>
          <a:lstStyle/>
          <a:p>
            <a:pPr>
              <a:defRPr sz="1600"/>
            </a:pPr>
            <a:r>
              <a:rPr lang="pt-BR" sz="1600"/>
              <a:t>Curva carga-desl</a:t>
            </a:r>
          </a:p>
        </c:rich>
      </c:tx>
      <c:layout>
        <c:manualLayout>
          <c:xMode val="edge"/>
          <c:yMode val="edge"/>
          <c:x val="0.2920923611111112"/>
          <c:y val="0"/>
        </c:manualLayout>
      </c:layout>
      <c:overlay val="1"/>
    </c:title>
    <c:plotArea>
      <c:layout>
        <c:manualLayout>
          <c:layoutTarget val="inner"/>
          <c:xMode val="edge"/>
          <c:yMode val="edge"/>
          <c:x val="0.22736076388888887"/>
          <c:y val="9.1088194444444451E-2"/>
          <c:w val="0.67356388888888918"/>
          <c:h val="0.74442500000000023"/>
        </c:manualLayout>
      </c:layout>
      <c:scatterChart>
        <c:scatterStyle val="smoothMarker"/>
        <c:ser>
          <c:idx val="0"/>
          <c:order val="0"/>
          <c:xVal>
            <c:numRef>
              <c:f>Plan1!$M$2:$M$11</c:f>
              <c:numCache>
                <c:formatCode>0.00000</c:formatCode>
                <c:ptCount val="10"/>
                <c:pt idx="0">
                  <c:v>0</c:v>
                </c:pt>
                <c:pt idx="1">
                  <c:v>8.6239999999999993E-4</c:v>
                </c:pt>
                <c:pt idx="2">
                  <c:v>1.7247999999999999E-3</c:v>
                </c:pt>
                <c:pt idx="3">
                  <c:v>2.5871999999999996E-3</c:v>
                </c:pt>
                <c:pt idx="4">
                  <c:v>3.4495999999999997E-3</c:v>
                </c:pt>
                <c:pt idx="5">
                  <c:v>4.311999999999999E-3</c:v>
                </c:pt>
                <c:pt idx="6">
                  <c:v>5.1743999999999991E-3</c:v>
                </c:pt>
                <c:pt idx="7">
                  <c:v>6.0367999999999984E-3</c:v>
                </c:pt>
                <c:pt idx="8">
                  <c:v>6.8991999999999994E-3</c:v>
                </c:pt>
                <c:pt idx="9">
                  <c:v>7.7615999999999987E-3</c:v>
                </c:pt>
              </c:numCache>
            </c:numRef>
          </c:xVal>
          <c:yVal>
            <c:numRef>
              <c:f>Plan1!$H$2:$H$11</c:f>
              <c:numCache>
                <c:formatCode>General</c:formatCode>
                <c:ptCount val="10"/>
                <c:pt idx="0">
                  <c:v>0</c:v>
                </c:pt>
                <c:pt idx="1">
                  <c:v>7700</c:v>
                </c:pt>
                <c:pt idx="2">
                  <c:v>15400</c:v>
                </c:pt>
                <c:pt idx="3">
                  <c:v>23100</c:v>
                </c:pt>
                <c:pt idx="4">
                  <c:v>30800</c:v>
                </c:pt>
                <c:pt idx="5">
                  <c:v>38500</c:v>
                </c:pt>
                <c:pt idx="6">
                  <c:v>46200</c:v>
                </c:pt>
                <c:pt idx="7">
                  <c:v>53900</c:v>
                </c:pt>
                <c:pt idx="8">
                  <c:v>61600</c:v>
                </c:pt>
                <c:pt idx="9">
                  <c:v>69300</c:v>
                </c:pt>
              </c:numCache>
            </c:numRef>
          </c:yVal>
          <c:smooth val="1"/>
        </c:ser>
        <c:ser>
          <c:idx val="1"/>
          <c:order val="1"/>
          <c:xVal>
            <c:numRef>
              <c:f>Plan1!$AL$2:$AL$11</c:f>
              <c:numCache>
                <c:formatCode>0.00000</c:formatCode>
                <c:ptCount val="10"/>
                <c:pt idx="0">
                  <c:v>0</c:v>
                </c:pt>
                <c:pt idx="1">
                  <c:v>9.2265602295309374E-4</c:v>
                </c:pt>
                <c:pt idx="2">
                  <c:v>1.8997863262496329E-3</c:v>
                </c:pt>
                <c:pt idx="3">
                  <c:v>2.9423559598297979E-3</c:v>
                </c:pt>
                <c:pt idx="4">
                  <c:v>4.0655914401673075E-3</c:v>
                </c:pt>
                <c:pt idx="5">
                  <c:v>5.291737745492589E-3</c:v>
                </c:pt>
                <c:pt idx="6">
                  <c:v>6.6556460211972786E-3</c:v>
                </c:pt>
                <c:pt idx="7">
                  <c:v>8.2178357379359256E-3</c:v>
                </c:pt>
                <c:pt idx="8">
                  <c:v>1.0102633599346714E-2</c:v>
                </c:pt>
                <c:pt idx="9">
                  <c:v>1.2664738264008921E-2</c:v>
                </c:pt>
              </c:numCache>
            </c:numRef>
          </c:xVal>
          <c:yVal>
            <c:numRef>
              <c:f>Plan1!$H$2:$H$11</c:f>
              <c:numCache>
                <c:formatCode>General</c:formatCode>
                <c:ptCount val="10"/>
                <c:pt idx="0">
                  <c:v>0</c:v>
                </c:pt>
                <c:pt idx="1">
                  <c:v>7700</c:v>
                </c:pt>
                <c:pt idx="2">
                  <c:v>15400</c:v>
                </c:pt>
                <c:pt idx="3">
                  <c:v>23100</c:v>
                </c:pt>
                <c:pt idx="4">
                  <c:v>30800</c:v>
                </c:pt>
                <c:pt idx="5">
                  <c:v>38500</c:v>
                </c:pt>
                <c:pt idx="6">
                  <c:v>46200</c:v>
                </c:pt>
                <c:pt idx="7">
                  <c:v>53900</c:v>
                </c:pt>
                <c:pt idx="8">
                  <c:v>61600</c:v>
                </c:pt>
                <c:pt idx="9">
                  <c:v>69300</c:v>
                </c:pt>
              </c:numCache>
            </c:numRef>
          </c:yVal>
          <c:smooth val="1"/>
        </c:ser>
        <c:axId val="166858752"/>
        <c:axId val="166862208"/>
      </c:scatterChart>
      <c:valAx>
        <c:axId val="1668587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u (m)</a:t>
                </a:r>
              </a:p>
            </c:rich>
          </c:tx>
          <c:layout/>
        </c:title>
        <c:numFmt formatCode="0.000" sourceLinked="0"/>
        <c:majorTickMark val="cross"/>
        <c:tickLblPos val="nextTo"/>
        <c:spPr>
          <a:ln>
            <a:solidFill>
              <a:sysClr val="windowText" lastClr="000000"/>
            </a:solidFill>
          </a:ln>
        </c:spPr>
        <c:crossAx val="166862208"/>
        <c:crosses val="autoZero"/>
        <c:crossBetween val="midCat"/>
      </c:valAx>
      <c:valAx>
        <c:axId val="166862208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pt-BR"/>
                  <a:t>Carga (kN)</a:t>
                </a:r>
              </a:p>
            </c:rich>
          </c:tx>
          <c:layout/>
        </c:title>
        <c:numFmt formatCode="General" sourceLinked="1"/>
        <c:majorTickMark val="cross"/>
        <c:tickLblPos val="nextTo"/>
        <c:spPr>
          <a:ln>
            <a:solidFill>
              <a:sysClr val="windowText" lastClr="000000"/>
            </a:solidFill>
          </a:ln>
        </c:spPr>
        <c:crossAx val="166858752"/>
        <c:crosses val="autoZero"/>
        <c:crossBetween val="midCat"/>
      </c:valAx>
    </c:plotArea>
    <c:plotVisOnly val="1"/>
  </c:chart>
  <c:printSettings>
    <c:headerFooter/>
    <c:pageMargins b="0.78740157499999996" l="0.511811024" r="0.511811024" t="0.78740157499999996" header="0.31496062000000025" footer="0.3149606200000002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457200</xdr:colOff>
      <xdr:row>15</xdr:row>
      <xdr:rowOff>0</xdr:rowOff>
    </xdr:from>
    <xdr:to>
      <xdr:col>9</xdr:col>
      <xdr:colOff>289200</xdr:colOff>
      <xdr:row>30</xdr:row>
      <xdr:rowOff>22500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457200</xdr:colOff>
      <xdr:row>15</xdr:row>
      <xdr:rowOff>0</xdr:rowOff>
    </xdr:from>
    <xdr:to>
      <xdr:col>14</xdr:col>
      <xdr:colOff>327300</xdr:colOff>
      <xdr:row>30</xdr:row>
      <xdr:rowOff>22500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542925</xdr:colOff>
      <xdr:row>15</xdr:row>
      <xdr:rowOff>0</xdr:rowOff>
    </xdr:from>
    <xdr:to>
      <xdr:col>19</xdr:col>
      <xdr:colOff>565425</xdr:colOff>
      <xdr:row>30</xdr:row>
      <xdr:rowOff>22500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123825</xdr:colOff>
      <xdr:row>15</xdr:row>
      <xdr:rowOff>0</xdr:rowOff>
    </xdr:from>
    <xdr:to>
      <xdr:col>24</xdr:col>
      <xdr:colOff>565425</xdr:colOff>
      <xdr:row>30</xdr:row>
      <xdr:rowOff>22500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571500</xdr:colOff>
      <xdr:row>31</xdr:row>
      <xdr:rowOff>114300</xdr:rowOff>
    </xdr:from>
    <xdr:to>
      <xdr:col>15</xdr:col>
      <xdr:colOff>441600</xdr:colOff>
      <xdr:row>46</xdr:row>
      <xdr:rowOff>136800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5"/>
  <sheetViews>
    <sheetView tabSelected="1" zoomScaleNormal="100" workbookViewId="0">
      <selection activeCell="K55" sqref="K55:L65"/>
    </sheetView>
  </sheetViews>
  <sheetFormatPr defaultRowHeight="15"/>
  <cols>
    <col min="7" max="7" width="12" bestFit="1" customWidth="1"/>
    <col min="12" max="12" width="8.5703125" customWidth="1"/>
    <col min="47" max="47" width="9.28515625" bestFit="1" customWidth="1"/>
  </cols>
  <sheetData>
    <row r="1" spans="1:47" ht="18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3" t="s">
        <v>12</v>
      </c>
      <c r="H1" s="4" t="s">
        <v>7</v>
      </c>
      <c r="I1" s="3"/>
      <c r="J1" s="3" t="s">
        <v>6</v>
      </c>
      <c r="K1" s="4" t="s">
        <v>8</v>
      </c>
      <c r="L1" s="4" t="s">
        <v>9</v>
      </c>
      <c r="M1" s="3" t="s">
        <v>10</v>
      </c>
      <c r="N1" s="3" t="s">
        <v>11</v>
      </c>
      <c r="P1" s="4" t="s">
        <v>8</v>
      </c>
      <c r="Q1" s="4" t="s">
        <v>9</v>
      </c>
      <c r="R1" s="3" t="s">
        <v>3</v>
      </c>
      <c r="S1" s="4" t="s">
        <v>9</v>
      </c>
      <c r="T1" s="3" t="s">
        <v>3</v>
      </c>
      <c r="U1" s="4" t="s">
        <v>9</v>
      </c>
      <c r="V1" s="3" t="s">
        <v>3</v>
      </c>
      <c r="W1" s="4" t="s">
        <v>9</v>
      </c>
      <c r="X1" s="3" t="s">
        <v>3</v>
      </c>
      <c r="Y1" s="4" t="s">
        <v>9</v>
      </c>
      <c r="Z1" s="3" t="s">
        <v>3</v>
      </c>
      <c r="AA1" s="4" t="s">
        <v>9</v>
      </c>
      <c r="AB1" s="3" t="s">
        <v>3</v>
      </c>
      <c r="AC1" s="4" t="s">
        <v>9</v>
      </c>
      <c r="AD1" s="3" t="s">
        <v>3</v>
      </c>
      <c r="AE1" s="4" t="s">
        <v>9</v>
      </c>
      <c r="AF1" s="3" t="s">
        <v>3</v>
      </c>
      <c r="AG1" s="4" t="s">
        <v>9</v>
      </c>
      <c r="AH1" s="3" t="s">
        <v>3</v>
      </c>
      <c r="AI1" s="4" t="s">
        <v>9</v>
      </c>
      <c r="AJ1" s="3" t="s">
        <v>3</v>
      </c>
      <c r="AK1" s="4" t="s">
        <v>9</v>
      </c>
      <c r="AL1" s="3" t="s">
        <v>10</v>
      </c>
      <c r="AM1" s="3" t="s">
        <v>11</v>
      </c>
      <c r="AO1" s="4"/>
      <c r="AP1" s="3"/>
      <c r="AQ1" s="4"/>
      <c r="AR1" s="4"/>
      <c r="AS1" s="3"/>
      <c r="AT1" s="3"/>
      <c r="AU1" s="3"/>
    </row>
    <row r="2" spans="1:47">
      <c r="A2" s="3">
        <v>7</v>
      </c>
      <c r="B2" s="3">
        <v>0.1</v>
      </c>
      <c r="C2" s="3">
        <v>3</v>
      </c>
      <c r="D2" s="3">
        <v>200</v>
      </c>
      <c r="E2" s="3">
        <v>0.2</v>
      </c>
      <c r="F2" s="3">
        <v>500</v>
      </c>
      <c r="G2" s="3">
        <f>D2 / (1 - (E2)^2)</f>
        <v>208.33333333333334</v>
      </c>
      <c r="H2" s="3">
        <v>0</v>
      </c>
      <c r="I2" s="3"/>
      <c r="J2" s="3">
        <f xml:space="preserve"> B2*C2</f>
        <v>0.30000000000000004</v>
      </c>
      <c r="K2" s="5">
        <f xml:space="preserve"> H2/$J$2</f>
        <v>0</v>
      </c>
      <c r="L2" s="6">
        <f>K2/($G$2*10^6)</f>
        <v>0</v>
      </c>
      <c r="M2" s="6">
        <f>L2*$A$2</f>
        <v>0</v>
      </c>
      <c r="N2" s="6">
        <f>-$E$2*M2</f>
        <v>0</v>
      </c>
      <c r="P2" s="5">
        <f xml:space="preserve"> H2/$J$2</f>
        <v>0</v>
      </c>
      <c r="Q2" s="6">
        <f>P2/($D$2*10^6)</f>
        <v>0</v>
      </c>
      <c r="R2" s="1">
        <f xml:space="preserve"> -($D$2^2) / (2*$F$2/1000) * Q2 + $D$2</f>
        <v>200</v>
      </c>
      <c r="S2" s="6">
        <f>$P2/(R2*10^6)</f>
        <v>0</v>
      </c>
      <c r="T2" s="1">
        <f xml:space="preserve"> -($D$2^2) / (2*$F$2/1000) * S2 + $D$2</f>
        <v>200</v>
      </c>
      <c r="U2" s="6">
        <f>$P2/(T2*10^6)</f>
        <v>0</v>
      </c>
      <c r="V2" s="1">
        <f xml:space="preserve"> -($D$2^2) / (2*$F$2/1000) * U2 + $D$2</f>
        <v>200</v>
      </c>
      <c r="W2" s="6">
        <f>$P2/(V2*10^6)</f>
        <v>0</v>
      </c>
      <c r="X2" s="1">
        <f xml:space="preserve"> -($D$2^2) / (2*$F$2/1000) * W2 + $D$2</f>
        <v>200</v>
      </c>
      <c r="Y2" s="6">
        <f>$P2/(X2*10^6)</f>
        <v>0</v>
      </c>
      <c r="Z2" s="1">
        <f xml:space="preserve"> -($D$2^2) / (2*$F$2/1000) * Y2 + $D$2</f>
        <v>200</v>
      </c>
      <c r="AA2" s="6">
        <f>$P2/(Z2*10^6)</f>
        <v>0</v>
      </c>
      <c r="AB2" s="1">
        <f xml:space="preserve"> -($D$2^2) / (2*$F$2/1000) * AA2 + $D$2</f>
        <v>200</v>
      </c>
      <c r="AC2" s="6">
        <f>$P2/(AB2*10^6)</f>
        <v>0</v>
      </c>
      <c r="AD2" s="1">
        <f xml:space="preserve"> -($D$2^2) / (2*$F$2/1000) * AC2 + $D$2</f>
        <v>200</v>
      </c>
      <c r="AE2" s="6">
        <f>$P2/(AD2*10^6)</f>
        <v>0</v>
      </c>
      <c r="AF2" s="1">
        <f xml:space="preserve"> -($D$2^2) / (2*$F$2/1000) * AE2 + $D$2</f>
        <v>200</v>
      </c>
      <c r="AG2" s="6">
        <f>$P2/(AF2*10^6)</f>
        <v>0</v>
      </c>
      <c r="AH2" s="1">
        <f xml:space="preserve"> -($D$2^2) / (2*$F$2/1000) * AG2 + $D$2</f>
        <v>200</v>
      </c>
      <c r="AI2" s="6">
        <f>$P2/(AH2*10^6)</f>
        <v>0</v>
      </c>
      <c r="AJ2" s="1">
        <f xml:space="preserve"> -($D$2^2) / (2*$F$2/1000) * AI2 + $D$2</f>
        <v>200</v>
      </c>
      <c r="AK2" s="6">
        <f>$P2/(AJ2*10^6)</f>
        <v>0</v>
      </c>
      <c r="AL2" s="6">
        <f>AK2*$A$2</f>
        <v>0</v>
      </c>
      <c r="AM2" s="6">
        <f>-$E$2*AL2</f>
        <v>0</v>
      </c>
      <c r="AO2" s="6"/>
      <c r="AP2" s="1"/>
      <c r="AQ2" s="2"/>
      <c r="AR2" s="6"/>
      <c r="AS2" s="1"/>
      <c r="AT2" s="6"/>
      <c r="AU2" s="6"/>
    </row>
    <row r="3" spans="1:47">
      <c r="A3" s="3"/>
      <c r="B3" s="3"/>
      <c r="C3" s="3"/>
      <c r="D3" s="3"/>
      <c r="F3" s="3"/>
      <c r="G3" s="3"/>
      <c r="H3" s="3">
        <f xml:space="preserve"> H2 + 1000*7.7</f>
        <v>7700</v>
      </c>
      <c r="I3" s="3"/>
      <c r="J3" s="3"/>
      <c r="K3" s="5">
        <f xml:space="preserve"> H3/$J$2</f>
        <v>25666.666666666664</v>
      </c>
      <c r="L3" s="6">
        <f>K3/($G$2*10^6)</f>
        <v>1.2319999999999999E-4</v>
      </c>
      <c r="M3" s="6">
        <f>L3*$A$2</f>
        <v>8.6239999999999993E-4</v>
      </c>
      <c r="N3" s="6">
        <f t="shared" ref="N3:N11" si="0">-$E$2*M3</f>
        <v>-1.7248E-4</v>
      </c>
      <c r="P3" s="5">
        <f t="shared" ref="P3:P12" si="1" xml:space="preserve"> H3/$J$2</f>
        <v>25666.666666666664</v>
      </c>
      <c r="Q3" s="6">
        <f t="shared" ref="Q3:Q12" si="2">P3/($D$2*10^6)</f>
        <v>1.2833333333333333E-4</v>
      </c>
      <c r="R3" s="1">
        <f t="shared" ref="R3:R12" si="3" xml:space="preserve"> -($D$2^2) / (2*$F$2/1000) * Q3 + $D$2</f>
        <v>194.86666666666667</v>
      </c>
      <c r="S3" s="6">
        <f t="shared" ref="S3:U11" si="4">$P3/(R3*10^6)</f>
        <v>1.3171399247348612E-4</v>
      </c>
      <c r="T3" s="1">
        <f t="shared" ref="T3:T11" si="5" xml:space="preserve"> -($D$2^2) / (2*$F$2/1000) * S3 + $D$2</f>
        <v>194.73144030106056</v>
      </c>
      <c r="U3" s="6">
        <f t="shared" si="4"/>
        <v>1.318054579526821E-4</v>
      </c>
      <c r="V3" s="1">
        <f t="shared" ref="V3:V11" si="6" xml:space="preserve"> -($D$2^2) / (2*$F$2/1000) * U3 + $D$2</f>
        <v>194.72778168189271</v>
      </c>
      <c r="W3" s="6">
        <f t="shared" ref="W3:W11" si="7">$P3/(V3*10^6)</f>
        <v>1.318079343634476E-4</v>
      </c>
      <c r="X3" s="1">
        <f t="shared" ref="X3:X11" si="8" xml:space="preserve"> -($D$2^2) / (2*$F$2/1000) * W3 + $D$2</f>
        <v>194.72768262546211</v>
      </c>
      <c r="Y3" s="6">
        <f t="shared" ref="Y3:Y11" si="9">$P3/(X3*10^6)</f>
        <v>1.3180800141310035E-4</v>
      </c>
      <c r="Z3" s="1">
        <f t="shared" ref="Z3:Z11" si="10" xml:space="preserve"> -($D$2^2) / (2*$F$2/1000) * Y3 + $D$2</f>
        <v>194.72767994347598</v>
      </c>
      <c r="AA3" s="6">
        <f t="shared" ref="AA3:AA11" si="11">$P3/(Z3*10^6)</f>
        <v>1.3180800322849315E-4</v>
      </c>
      <c r="AB3" s="1">
        <f t="shared" ref="AB3:AB11" si="12" xml:space="preserve"> -($D$2^2) / (2*$F$2/1000) * AA3 + $D$2</f>
        <v>194.72767987086027</v>
      </c>
      <c r="AC3" s="6">
        <f t="shared" ref="AC3:AC11" si="13">$P3/(AB3*10^6)</f>
        <v>1.3180800327764554E-4</v>
      </c>
      <c r="AD3" s="1">
        <f t="shared" ref="AD3:AD11" si="14" xml:space="preserve"> -($D$2^2) / (2*$F$2/1000) * AC3 + $D$2</f>
        <v>194.72767986889417</v>
      </c>
      <c r="AE3" s="6">
        <f t="shared" ref="AE3:AE11" si="15">$P3/(AD3*10^6)</f>
        <v>1.3180800327897637E-4</v>
      </c>
      <c r="AF3" s="1">
        <f t="shared" ref="AF3:AF11" si="16" xml:space="preserve"> -($D$2^2) / (2*$F$2/1000) * AE3 + $D$2</f>
        <v>194.72767986884094</v>
      </c>
      <c r="AG3" s="6">
        <f t="shared" ref="AG3:AG11" si="17">$P3/(AF3*10^6)</f>
        <v>1.3180800327901242E-4</v>
      </c>
      <c r="AH3" s="1">
        <f t="shared" ref="AH3:AH11" si="18" xml:space="preserve"> -($D$2^2) / (2*$F$2/1000) * AG3 + $D$2</f>
        <v>194.72767986883952</v>
      </c>
      <c r="AI3" s="6">
        <f t="shared" ref="AI3:AI11" si="19">$P3/(AH3*10^6)</f>
        <v>1.3180800327901337E-4</v>
      </c>
      <c r="AJ3" s="1">
        <f t="shared" ref="AJ3:AJ11" si="20" xml:space="preserve"> -($D$2^2) / (2*$F$2/1000) * AI3 + $D$2</f>
        <v>194.72767986883946</v>
      </c>
      <c r="AK3" s="6">
        <f t="shared" ref="AK3:AK11" si="21">$P3/(AJ3*10^6)</f>
        <v>1.318080032790134E-4</v>
      </c>
      <c r="AL3" s="6">
        <f t="shared" ref="AL3:AL11" si="22">AK3*$A$2</f>
        <v>9.2265602295309374E-4</v>
      </c>
      <c r="AM3" s="6">
        <f t="shared" ref="AM3:AM11" si="23">-$E$2*AL3</f>
        <v>-1.8453120459061876E-4</v>
      </c>
      <c r="AN3" s="2"/>
      <c r="AO3" s="6"/>
      <c r="AP3" s="1"/>
      <c r="AQ3" s="2"/>
      <c r="AR3" s="6"/>
      <c r="AS3" s="1"/>
      <c r="AT3" s="6"/>
      <c r="AU3" s="6"/>
    </row>
    <row r="4" spans="1:47">
      <c r="A4" s="3"/>
      <c r="B4" s="3"/>
      <c r="C4" s="3"/>
      <c r="D4" s="3"/>
      <c r="F4" s="3"/>
      <c r="G4" s="3"/>
      <c r="H4" s="3">
        <f t="shared" ref="H4:H11" si="24" xml:space="preserve"> H3 + 1000*7.7</f>
        <v>15400</v>
      </c>
      <c r="I4" s="3"/>
      <c r="J4" s="3"/>
      <c r="K4" s="5">
        <f xml:space="preserve"> H4/$J$2</f>
        <v>51333.333333333328</v>
      </c>
      <c r="L4" s="6">
        <f>K4/($G$2*10^6)</f>
        <v>2.4639999999999997E-4</v>
      </c>
      <c r="M4" s="6">
        <f t="shared" ref="M4:M10" si="25">L4*$A$2</f>
        <v>1.7247999999999999E-3</v>
      </c>
      <c r="N4" s="6">
        <f t="shared" si="0"/>
        <v>-3.4496E-4</v>
      </c>
      <c r="P4" s="5">
        <f t="shared" si="1"/>
        <v>51333.333333333328</v>
      </c>
      <c r="Q4" s="6">
        <f t="shared" si="2"/>
        <v>2.5666666666666665E-4</v>
      </c>
      <c r="R4" s="1">
        <f t="shared" si="3"/>
        <v>189.73333333333335</v>
      </c>
      <c r="S4" s="6">
        <f t="shared" si="4"/>
        <v>2.705551651440618E-4</v>
      </c>
      <c r="T4" s="1">
        <f t="shared" si="5"/>
        <v>189.17779339423754</v>
      </c>
      <c r="U4" s="6">
        <f t="shared" si="4"/>
        <v>2.7134967805844473E-4</v>
      </c>
      <c r="V4" s="1">
        <f t="shared" si="6"/>
        <v>189.1460128776622</v>
      </c>
      <c r="W4" s="6">
        <f t="shared" si="7"/>
        <v>2.7139527052328207E-4</v>
      </c>
      <c r="X4" s="1">
        <f t="shared" si="8"/>
        <v>189.14418917906872</v>
      </c>
      <c r="Y4" s="6">
        <f t="shared" si="9"/>
        <v>2.7139788727389589E-4</v>
      </c>
      <c r="Z4" s="1">
        <f t="shared" si="10"/>
        <v>189.14408450904418</v>
      </c>
      <c r="AA4" s="6">
        <f t="shared" si="11"/>
        <v>2.7139803746216955E-4</v>
      </c>
      <c r="AB4" s="1">
        <f t="shared" si="12"/>
        <v>189.14407850151321</v>
      </c>
      <c r="AC4" s="6">
        <f t="shared" si="13"/>
        <v>2.7139804608222322E-4</v>
      </c>
      <c r="AD4" s="1">
        <f t="shared" si="14"/>
        <v>189.14407815671106</v>
      </c>
      <c r="AE4" s="6">
        <f t="shared" si="15"/>
        <v>2.7139804657697107E-4</v>
      </c>
      <c r="AF4" s="1">
        <f t="shared" si="16"/>
        <v>189.14407813692117</v>
      </c>
      <c r="AG4" s="6">
        <f t="shared" si="17"/>
        <v>2.7139804660536709E-4</v>
      </c>
      <c r="AH4" s="1">
        <f t="shared" si="18"/>
        <v>189.14407813578532</v>
      </c>
      <c r="AI4" s="6">
        <f t="shared" si="19"/>
        <v>2.7139804660699691E-4</v>
      </c>
      <c r="AJ4" s="1">
        <f t="shared" si="20"/>
        <v>189.14407813572012</v>
      </c>
      <c r="AK4" s="6">
        <f t="shared" si="21"/>
        <v>2.7139804660709043E-4</v>
      </c>
      <c r="AL4" s="6">
        <f t="shared" si="22"/>
        <v>1.8997863262496329E-3</v>
      </c>
      <c r="AM4" s="6">
        <f t="shared" si="23"/>
        <v>-3.7995726524992662E-4</v>
      </c>
      <c r="AN4" s="2"/>
      <c r="AO4" s="6"/>
      <c r="AP4" s="1"/>
      <c r="AQ4" s="2"/>
      <c r="AR4" s="6"/>
      <c r="AS4" s="1"/>
      <c r="AT4" s="6"/>
      <c r="AU4" s="6"/>
    </row>
    <row r="5" spans="1:47">
      <c r="A5" s="3"/>
      <c r="B5" s="3"/>
      <c r="C5" s="3"/>
      <c r="D5" s="3"/>
      <c r="E5" s="3"/>
      <c r="F5" s="3"/>
      <c r="G5" s="3"/>
      <c r="H5" s="3">
        <f t="shared" si="24"/>
        <v>23100</v>
      </c>
      <c r="I5" s="3"/>
      <c r="J5" s="3"/>
      <c r="K5" s="5">
        <f xml:space="preserve"> H5/$J$2</f>
        <v>76999.999999999985</v>
      </c>
      <c r="L5" s="6">
        <f>K5/($G$2*10^6)</f>
        <v>3.6959999999999993E-4</v>
      </c>
      <c r="M5" s="6">
        <f t="shared" si="25"/>
        <v>2.5871999999999996E-3</v>
      </c>
      <c r="N5" s="6">
        <f t="shared" si="0"/>
        <v>-5.1743999999999998E-4</v>
      </c>
      <c r="P5" s="5">
        <f t="shared" si="1"/>
        <v>76999.999999999985</v>
      </c>
      <c r="Q5" s="6">
        <f t="shared" si="2"/>
        <v>3.8499999999999993E-4</v>
      </c>
      <c r="R5" s="1">
        <f t="shared" si="3"/>
        <v>184.6</v>
      </c>
      <c r="S5" s="6">
        <f t="shared" si="4"/>
        <v>4.1711809317443113E-4</v>
      </c>
      <c r="T5" s="1">
        <f t="shared" si="5"/>
        <v>183.31527627302276</v>
      </c>
      <c r="U5" s="6">
        <f t="shared" si="4"/>
        <v>4.2004137115839234E-4</v>
      </c>
      <c r="V5" s="1">
        <f t="shared" si="6"/>
        <v>183.19834515366432</v>
      </c>
      <c r="W5" s="6">
        <f t="shared" si="7"/>
        <v>4.2030947351305722E-4</v>
      </c>
      <c r="X5" s="1">
        <f t="shared" si="8"/>
        <v>183.18762105947772</v>
      </c>
      <c r="Y5" s="6">
        <f t="shared" si="9"/>
        <v>4.2033407909696841E-4</v>
      </c>
      <c r="Z5" s="1">
        <f t="shared" si="10"/>
        <v>183.18663683612127</v>
      </c>
      <c r="AA5" s="6">
        <f t="shared" si="11"/>
        <v>4.2033633746376477E-4</v>
      </c>
      <c r="AB5" s="1">
        <f t="shared" si="12"/>
        <v>183.18654650144941</v>
      </c>
      <c r="AC5" s="6">
        <f t="shared" si="13"/>
        <v>4.2033654474397085E-4</v>
      </c>
      <c r="AD5" s="1">
        <f t="shared" si="14"/>
        <v>183.18653821024117</v>
      </c>
      <c r="AE5" s="6">
        <f t="shared" si="15"/>
        <v>4.2033656376882855E-4</v>
      </c>
      <c r="AF5" s="1">
        <f t="shared" si="16"/>
        <v>183.18653744924686</v>
      </c>
      <c r="AG5" s="6">
        <f t="shared" si="17"/>
        <v>4.2033656551499252E-4</v>
      </c>
      <c r="AH5" s="1">
        <f t="shared" si="18"/>
        <v>183.18653737940031</v>
      </c>
      <c r="AI5" s="6">
        <f t="shared" si="19"/>
        <v>4.2033656567526119E-4</v>
      </c>
      <c r="AJ5" s="1">
        <f t="shared" si="20"/>
        <v>183.18653737298956</v>
      </c>
      <c r="AK5" s="6">
        <f t="shared" si="21"/>
        <v>4.2033656568997115E-4</v>
      </c>
      <c r="AL5" s="6">
        <f t="shared" si="22"/>
        <v>2.9423559598297979E-3</v>
      </c>
      <c r="AM5" s="6">
        <f t="shared" si="23"/>
        <v>-5.8847119196595965E-4</v>
      </c>
      <c r="AN5" s="2"/>
      <c r="AO5" s="6"/>
      <c r="AP5" s="1"/>
      <c r="AQ5" s="2"/>
      <c r="AR5" s="6"/>
      <c r="AS5" s="1"/>
      <c r="AT5" s="6"/>
      <c r="AU5" s="6"/>
    </row>
    <row r="6" spans="1:47">
      <c r="A6" s="3"/>
      <c r="B6" s="3"/>
      <c r="C6" s="3"/>
      <c r="D6" s="3"/>
      <c r="E6" s="3"/>
      <c r="F6" s="3"/>
      <c r="G6" s="3"/>
      <c r="H6" s="3">
        <f t="shared" si="24"/>
        <v>30800</v>
      </c>
      <c r="I6" s="3"/>
      <c r="J6" s="3"/>
      <c r="K6" s="5">
        <f xml:space="preserve"> H6/$J$2</f>
        <v>102666.66666666666</v>
      </c>
      <c r="L6" s="6">
        <f>K6/($G$2*10^6)</f>
        <v>4.9279999999999994E-4</v>
      </c>
      <c r="M6" s="6">
        <f t="shared" si="25"/>
        <v>3.4495999999999997E-3</v>
      </c>
      <c r="N6" s="6">
        <f t="shared" si="0"/>
        <v>-6.8992000000000001E-4</v>
      </c>
      <c r="P6" s="5">
        <f t="shared" si="1"/>
        <v>102666.66666666666</v>
      </c>
      <c r="Q6" s="6">
        <f t="shared" si="2"/>
        <v>5.1333333333333331E-4</v>
      </c>
      <c r="R6" s="1">
        <f t="shared" si="3"/>
        <v>179.46666666666667</v>
      </c>
      <c r="S6" s="6">
        <f t="shared" si="4"/>
        <v>5.7206537890044571E-4</v>
      </c>
      <c r="T6" s="1">
        <f t="shared" si="5"/>
        <v>177.11738484398217</v>
      </c>
      <c r="U6" s="6">
        <f t="shared" si="4"/>
        <v>5.7965324384787469E-4</v>
      </c>
      <c r="V6" s="1">
        <f t="shared" si="6"/>
        <v>176.813870246085</v>
      </c>
      <c r="W6" s="6">
        <f t="shared" si="7"/>
        <v>5.8064826319212306E-4</v>
      </c>
      <c r="X6" s="1">
        <f t="shared" si="8"/>
        <v>176.77406947231509</v>
      </c>
      <c r="Y6" s="6">
        <f t="shared" si="9"/>
        <v>5.8077899645086496E-4</v>
      </c>
      <c r="Z6" s="1">
        <f t="shared" si="10"/>
        <v>176.7688401419654</v>
      </c>
      <c r="AA6" s="6">
        <f t="shared" si="11"/>
        <v>5.8079617756281988E-4</v>
      </c>
      <c r="AB6" s="1">
        <f t="shared" si="12"/>
        <v>176.7681528974872</v>
      </c>
      <c r="AC6" s="6">
        <f t="shared" si="13"/>
        <v>5.8079843559945971E-4</v>
      </c>
      <c r="AD6" s="1">
        <f t="shared" si="14"/>
        <v>176.76806257602161</v>
      </c>
      <c r="AE6" s="6">
        <f t="shared" si="15"/>
        <v>5.8079873236441335E-4</v>
      </c>
      <c r="AF6" s="1">
        <f t="shared" si="16"/>
        <v>176.76805070542346</v>
      </c>
      <c r="AG6" s="6">
        <f t="shared" si="17"/>
        <v>5.8079877136709703E-4</v>
      </c>
      <c r="AH6" s="1">
        <f t="shared" si="18"/>
        <v>176.76804914531613</v>
      </c>
      <c r="AI6" s="6">
        <f t="shared" si="19"/>
        <v>5.8079877649307101E-4</v>
      </c>
      <c r="AJ6" s="1">
        <f t="shared" si="20"/>
        <v>176.76804894027717</v>
      </c>
      <c r="AK6" s="6">
        <f t="shared" si="21"/>
        <v>5.8079877716675824E-4</v>
      </c>
      <c r="AL6" s="6">
        <f t="shared" si="22"/>
        <v>4.0655914401673075E-3</v>
      </c>
      <c r="AM6" s="6">
        <f t="shared" si="23"/>
        <v>-8.1311828803346149E-4</v>
      </c>
      <c r="AN6" s="2"/>
      <c r="AO6" s="6"/>
      <c r="AP6" s="1"/>
      <c r="AQ6" s="2"/>
      <c r="AR6" s="6"/>
      <c r="AS6" s="1"/>
      <c r="AT6" s="6"/>
      <c r="AU6" s="6"/>
    </row>
    <row r="7" spans="1:47">
      <c r="A7" s="3"/>
      <c r="B7" s="3"/>
      <c r="C7" s="3"/>
      <c r="D7" s="3"/>
      <c r="E7" s="3"/>
      <c r="F7" s="3"/>
      <c r="G7" s="3"/>
      <c r="H7" s="3">
        <f t="shared" si="24"/>
        <v>38500</v>
      </c>
      <c r="I7" s="3"/>
      <c r="J7" s="3"/>
      <c r="K7" s="5">
        <f xml:space="preserve"> H7/$J$2</f>
        <v>128333.33333333331</v>
      </c>
      <c r="L7" s="6">
        <f>K7/($G$2*10^6)</f>
        <v>6.159999999999999E-4</v>
      </c>
      <c r="M7" s="6">
        <f t="shared" si="25"/>
        <v>4.311999999999999E-3</v>
      </c>
      <c r="N7" s="6">
        <f t="shared" si="0"/>
        <v>-8.6239999999999982E-4</v>
      </c>
      <c r="P7" s="5">
        <f t="shared" si="1"/>
        <v>128333.33333333331</v>
      </c>
      <c r="Q7" s="6">
        <f t="shared" si="2"/>
        <v>6.4166666666666658E-4</v>
      </c>
      <c r="R7" s="1">
        <f t="shared" si="3"/>
        <v>174.33333333333334</v>
      </c>
      <c r="S7" s="6">
        <f t="shared" si="4"/>
        <v>7.3613766730401509E-4</v>
      </c>
      <c r="T7" s="1">
        <f t="shared" si="5"/>
        <v>170.55449330783941</v>
      </c>
      <c r="U7" s="6">
        <f t="shared" si="4"/>
        <v>7.5244768310911794E-4</v>
      </c>
      <c r="V7" s="1">
        <f t="shared" si="6"/>
        <v>169.90209267563529</v>
      </c>
      <c r="W7" s="6">
        <f t="shared" si="7"/>
        <v>7.5533697856410736E-4</v>
      </c>
      <c r="X7" s="1">
        <f t="shared" si="8"/>
        <v>169.7865208574357</v>
      </c>
      <c r="Y7" s="6">
        <f t="shared" si="9"/>
        <v>7.5585112814161904E-4</v>
      </c>
      <c r="Z7" s="1">
        <f t="shared" si="10"/>
        <v>169.76595487433525</v>
      </c>
      <c r="AA7" s="6">
        <f t="shared" si="11"/>
        <v>7.5594269433072519E-4</v>
      </c>
      <c r="AB7" s="1">
        <f t="shared" si="12"/>
        <v>169.762292226771</v>
      </c>
      <c r="AC7" s="6">
        <f t="shared" si="13"/>
        <v>7.559590039106195E-4</v>
      </c>
      <c r="AD7" s="1">
        <f t="shared" si="14"/>
        <v>169.76163984357521</v>
      </c>
      <c r="AE7" s="6">
        <f t="shared" si="15"/>
        <v>7.5596190901304028E-4</v>
      </c>
      <c r="AF7" s="1">
        <f t="shared" si="16"/>
        <v>169.76152363947838</v>
      </c>
      <c r="AG7" s="6">
        <f t="shared" si="17"/>
        <v>7.5596242647935996E-4</v>
      </c>
      <c r="AH7" s="1">
        <f t="shared" si="18"/>
        <v>169.76150294082561</v>
      </c>
      <c r="AI7" s="6">
        <f t="shared" si="19"/>
        <v>7.5596251865222316E-4</v>
      </c>
      <c r="AJ7" s="1">
        <f t="shared" si="20"/>
        <v>169.76149925391107</v>
      </c>
      <c r="AK7" s="6">
        <f t="shared" si="21"/>
        <v>7.5596253507036984E-4</v>
      </c>
      <c r="AL7" s="6">
        <f t="shared" si="22"/>
        <v>5.291737745492589E-3</v>
      </c>
      <c r="AM7" s="6">
        <f t="shared" si="23"/>
        <v>-1.0583475490985178E-3</v>
      </c>
      <c r="AN7" s="2"/>
      <c r="AO7" s="6"/>
      <c r="AP7" s="1"/>
      <c r="AQ7" s="2"/>
      <c r="AR7" s="6"/>
      <c r="AS7" s="1"/>
      <c r="AT7" s="6"/>
      <c r="AU7" s="6"/>
    </row>
    <row r="8" spans="1:47">
      <c r="A8" s="3"/>
      <c r="B8" s="3"/>
      <c r="C8" s="3"/>
      <c r="D8" s="3"/>
      <c r="E8" s="3"/>
      <c r="F8" s="3"/>
      <c r="G8" s="3"/>
      <c r="H8" s="3">
        <f t="shared" si="24"/>
        <v>46200</v>
      </c>
      <c r="I8" s="3"/>
      <c r="J8" s="3"/>
      <c r="K8" s="5">
        <f xml:space="preserve"> H8/$J$2</f>
        <v>153999.99999999997</v>
      </c>
      <c r="L8" s="6">
        <f>K8/($G$2*10^6)</f>
        <v>7.3919999999999986E-4</v>
      </c>
      <c r="M8" s="6">
        <f t="shared" si="25"/>
        <v>5.1743999999999991E-3</v>
      </c>
      <c r="N8" s="6">
        <f t="shared" si="0"/>
        <v>-1.03488E-3</v>
      </c>
      <c r="P8" s="5">
        <f t="shared" si="1"/>
        <v>153999.99999999997</v>
      </c>
      <c r="Q8" s="6">
        <f t="shared" si="2"/>
        <v>7.6999999999999985E-4</v>
      </c>
      <c r="R8" s="1">
        <f t="shared" si="3"/>
        <v>169.20000000000002</v>
      </c>
      <c r="S8" s="6">
        <f t="shared" si="4"/>
        <v>9.1016548463356938E-4</v>
      </c>
      <c r="T8" s="1">
        <f t="shared" si="5"/>
        <v>163.59338061465724</v>
      </c>
      <c r="U8" s="6">
        <f t="shared" si="4"/>
        <v>9.4135838150288993E-4</v>
      </c>
      <c r="V8" s="1">
        <f t="shared" si="6"/>
        <v>162.3456647398844</v>
      </c>
      <c r="W8" s="6">
        <f t="shared" si="7"/>
        <v>9.4859323928818092E-4</v>
      </c>
      <c r="X8" s="1">
        <f t="shared" si="8"/>
        <v>162.05627042847277</v>
      </c>
      <c r="Y8" s="6">
        <f t="shared" si="9"/>
        <v>9.5028720328332742E-4</v>
      </c>
      <c r="Z8" s="1">
        <f t="shared" si="10"/>
        <v>161.9885118686669</v>
      </c>
      <c r="AA8" s="6">
        <f t="shared" si="11"/>
        <v>9.5068470117718178E-4</v>
      </c>
      <c r="AB8" s="1">
        <f t="shared" si="12"/>
        <v>161.97261195291273</v>
      </c>
      <c r="AC8" s="6">
        <f t="shared" si="13"/>
        <v>9.5077802440309803E-4</v>
      </c>
      <c r="AD8" s="1">
        <f t="shared" si="14"/>
        <v>161.96887902387607</v>
      </c>
      <c r="AE8" s="6">
        <f t="shared" si="15"/>
        <v>9.5079993717372459E-4</v>
      </c>
      <c r="AF8" s="1">
        <f t="shared" si="16"/>
        <v>161.96800251305103</v>
      </c>
      <c r="AG8" s="6">
        <f t="shared" si="17"/>
        <v>9.508050825507401E-4</v>
      </c>
      <c r="AH8" s="1">
        <f t="shared" si="18"/>
        <v>161.96779669797039</v>
      </c>
      <c r="AI8" s="6">
        <f t="shared" si="19"/>
        <v>9.5080629075402947E-4</v>
      </c>
      <c r="AJ8" s="1">
        <f t="shared" si="20"/>
        <v>161.96774836983883</v>
      </c>
      <c r="AK8" s="6">
        <f t="shared" si="21"/>
        <v>9.5080657445675409E-4</v>
      </c>
      <c r="AL8" s="6">
        <f t="shared" si="22"/>
        <v>6.6556460211972786E-3</v>
      </c>
      <c r="AM8" s="6">
        <f t="shared" si="23"/>
        <v>-1.3311292042394558E-3</v>
      </c>
      <c r="AN8" s="2"/>
      <c r="AO8" s="6"/>
      <c r="AP8" s="1"/>
      <c r="AQ8" s="2"/>
      <c r="AR8" s="6"/>
      <c r="AS8" s="1"/>
      <c r="AT8" s="6"/>
      <c r="AU8" s="6"/>
    </row>
    <row r="9" spans="1:47">
      <c r="A9" s="3"/>
      <c r="B9" s="3"/>
      <c r="C9" s="3"/>
      <c r="D9" s="3"/>
      <c r="E9" s="3"/>
      <c r="F9" s="3"/>
      <c r="G9" s="3"/>
      <c r="H9" s="3">
        <f t="shared" si="24"/>
        <v>53900</v>
      </c>
      <c r="I9" s="3"/>
      <c r="J9" s="3"/>
      <c r="K9" s="5">
        <f xml:space="preserve"> H9/$J$2</f>
        <v>179666.66666666663</v>
      </c>
      <c r="L9" s="6">
        <f>K9/($G$2*10^6)</f>
        <v>8.6239999999999982E-4</v>
      </c>
      <c r="M9" s="6">
        <f t="shared" si="25"/>
        <v>6.0367999999999984E-3</v>
      </c>
      <c r="N9" s="6">
        <f t="shared" si="0"/>
        <v>-1.2073599999999998E-3</v>
      </c>
      <c r="P9" s="5">
        <f t="shared" si="1"/>
        <v>179666.66666666663</v>
      </c>
      <c r="Q9" s="6">
        <f t="shared" si="2"/>
        <v>8.9833333333333312E-4</v>
      </c>
      <c r="R9" s="1">
        <f t="shared" si="3"/>
        <v>164.06666666666666</v>
      </c>
      <c r="S9" s="6">
        <f t="shared" si="4"/>
        <v>1.0950832994717592E-3</v>
      </c>
      <c r="T9" s="1">
        <f t="shared" si="5"/>
        <v>156.19666802112963</v>
      </c>
      <c r="U9" s="6">
        <f t="shared" si="4"/>
        <v>1.1502592785293095E-3</v>
      </c>
      <c r="V9" s="1">
        <f t="shared" si="6"/>
        <v>153.98962885882761</v>
      </c>
      <c r="W9" s="6">
        <f t="shared" si="7"/>
        <v>1.1667452412095806E-3</v>
      </c>
      <c r="X9" s="1">
        <f t="shared" si="8"/>
        <v>153.33019035161678</v>
      </c>
      <c r="Y9" s="6">
        <f t="shared" si="9"/>
        <v>1.1717631488923027E-3</v>
      </c>
      <c r="Z9" s="1">
        <f t="shared" si="10"/>
        <v>153.1294740443079</v>
      </c>
      <c r="AA9" s="6">
        <f t="shared" si="11"/>
        <v>1.1732990515900305E-3</v>
      </c>
      <c r="AB9" s="1">
        <f t="shared" si="12"/>
        <v>153.06803793639878</v>
      </c>
      <c r="AC9" s="6">
        <f t="shared" si="13"/>
        <v>1.1737699724178854E-3</v>
      </c>
      <c r="AD9" s="1">
        <f t="shared" si="14"/>
        <v>153.04920110328459</v>
      </c>
      <c r="AE9" s="6">
        <f t="shared" si="15"/>
        <v>1.1739144364786285E-3</v>
      </c>
      <c r="AF9" s="1">
        <f t="shared" si="16"/>
        <v>153.04342254085486</v>
      </c>
      <c r="AG9" s="6">
        <f t="shared" si="17"/>
        <v>1.1739587607478177E-3</v>
      </c>
      <c r="AH9" s="1">
        <f t="shared" si="18"/>
        <v>153.04164957008729</v>
      </c>
      <c r="AI9" s="6">
        <f t="shared" si="19"/>
        <v>1.1739723609316306E-3</v>
      </c>
      <c r="AJ9" s="1">
        <f t="shared" si="20"/>
        <v>153.04110556273477</v>
      </c>
      <c r="AK9" s="6">
        <f t="shared" si="21"/>
        <v>1.1739765339908465E-3</v>
      </c>
      <c r="AL9" s="6">
        <f t="shared" si="22"/>
        <v>8.2178357379359256E-3</v>
      </c>
      <c r="AM9" s="6">
        <f t="shared" si="23"/>
        <v>-1.6435671475871852E-3</v>
      </c>
      <c r="AN9" s="2"/>
      <c r="AO9" s="6"/>
      <c r="AP9" s="1"/>
      <c r="AQ9" s="2"/>
      <c r="AR9" s="6"/>
      <c r="AS9" s="1"/>
      <c r="AT9" s="6"/>
      <c r="AU9" s="6"/>
    </row>
    <row r="10" spans="1:47">
      <c r="A10" s="3"/>
      <c r="B10" s="3"/>
      <c r="C10" s="3"/>
      <c r="D10" s="3"/>
      <c r="E10" s="3"/>
      <c r="F10" s="3"/>
      <c r="G10" s="3"/>
      <c r="H10" s="3">
        <f t="shared" si="24"/>
        <v>61600</v>
      </c>
      <c r="I10" s="3"/>
      <c r="J10" s="3"/>
      <c r="K10" s="5">
        <f xml:space="preserve"> H10/$J$2</f>
        <v>205333.33333333331</v>
      </c>
      <c r="L10" s="6">
        <f>K10/($G$2*10^6)</f>
        <v>9.8559999999999989E-4</v>
      </c>
      <c r="M10" s="6">
        <f t="shared" si="25"/>
        <v>6.8991999999999994E-3</v>
      </c>
      <c r="N10" s="6">
        <f t="shared" si="0"/>
        <v>-1.37984E-3</v>
      </c>
      <c r="P10" s="5">
        <f t="shared" si="1"/>
        <v>205333.33333333331</v>
      </c>
      <c r="Q10" s="6">
        <f t="shared" si="2"/>
        <v>1.0266666666666666E-3</v>
      </c>
      <c r="R10" s="1">
        <f t="shared" si="3"/>
        <v>158.93333333333334</v>
      </c>
      <c r="S10" s="6">
        <f t="shared" si="4"/>
        <v>1.2919463087248319E-3</v>
      </c>
      <c r="T10" s="1">
        <f t="shared" si="5"/>
        <v>148.32214765100673</v>
      </c>
      <c r="U10" s="6">
        <f t="shared" si="4"/>
        <v>1.3843740573152336E-3</v>
      </c>
      <c r="V10" s="1">
        <f t="shared" si="6"/>
        <v>144.62503770739067</v>
      </c>
      <c r="W10" s="6">
        <f t="shared" si="7"/>
        <v>1.4197633866742309E-3</v>
      </c>
      <c r="X10" s="1">
        <f t="shared" si="8"/>
        <v>143.20946453303077</v>
      </c>
      <c r="Y10" s="6">
        <f t="shared" si="9"/>
        <v>1.4337972284364899E-3</v>
      </c>
      <c r="Z10" s="1">
        <f t="shared" si="10"/>
        <v>142.64811086254042</v>
      </c>
      <c r="AA10" s="6">
        <f t="shared" si="11"/>
        <v>1.4394395557835186E-3</v>
      </c>
      <c r="AB10" s="1">
        <f t="shared" si="12"/>
        <v>142.42241776865924</v>
      </c>
      <c r="AC10" s="6">
        <f t="shared" si="13"/>
        <v>1.441720598135485E-3</v>
      </c>
      <c r="AD10" s="1">
        <f t="shared" si="14"/>
        <v>142.33117607458058</v>
      </c>
      <c r="AE10" s="6">
        <f t="shared" si="15"/>
        <v>1.4426448160994611E-3</v>
      </c>
      <c r="AF10" s="1">
        <f t="shared" si="16"/>
        <v>142.29420735602156</v>
      </c>
      <c r="AG10" s="6">
        <f t="shared" si="17"/>
        <v>1.443019622152202E-3</v>
      </c>
      <c r="AH10" s="1">
        <f t="shared" si="18"/>
        <v>142.27921511391193</v>
      </c>
      <c r="AI10" s="6">
        <f t="shared" si="19"/>
        <v>1.4431716759818983E-3</v>
      </c>
      <c r="AJ10" s="1">
        <f t="shared" si="20"/>
        <v>142.27313296072407</v>
      </c>
      <c r="AK10" s="6">
        <f t="shared" si="21"/>
        <v>1.4432333713352448E-3</v>
      </c>
      <c r="AL10" s="6">
        <f t="shared" si="22"/>
        <v>1.0102633599346714E-2</v>
      </c>
      <c r="AM10" s="6">
        <f t="shared" si="23"/>
        <v>-2.0205267198693429E-3</v>
      </c>
      <c r="AN10" s="2"/>
      <c r="AO10" s="6"/>
      <c r="AP10" s="1"/>
      <c r="AQ10" s="2"/>
      <c r="AR10" s="6"/>
      <c r="AS10" s="1"/>
      <c r="AT10" s="6"/>
      <c r="AU10" s="6"/>
    </row>
    <row r="11" spans="1:47">
      <c r="A11" s="3"/>
      <c r="B11" s="3"/>
      <c r="C11" s="3"/>
      <c r="D11" s="3"/>
      <c r="E11" s="3"/>
      <c r="F11" s="3"/>
      <c r="G11" s="3"/>
      <c r="H11" s="3">
        <f t="shared" si="24"/>
        <v>69300</v>
      </c>
      <c r="I11" s="3"/>
      <c r="J11" s="3"/>
      <c r="K11" s="5">
        <f xml:space="preserve"> H11/$J$2</f>
        <v>230999.99999999997</v>
      </c>
      <c r="L11" s="6">
        <f>K11/($G$2*10^6)</f>
        <v>1.1087999999999998E-3</v>
      </c>
      <c r="M11" s="6">
        <f>L11*$A$2</f>
        <v>7.7615999999999987E-3</v>
      </c>
      <c r="N11" s="6">
        <f t="shared" si="0"/>
        <v>-1.5523199999999998E-3</v>
      </c>
      <c r="P11" s="5">
        <f t="shared" si="1"/>
        <v>230999.99999999997</v>
      </c>
      <c r="Q11" s="6">
        <f t="shared" si="2"/>
        <v>1.1549999999999998E-3</v>
      </c>
      <c r="R11" s="1">
        <f t="shared" si="3"/>
        <v>153.80000000000001</v>
      </c>
      <c r="S11" s="6">
        <f t="shared" si="4"/>
        <v>1.5019505851755525E-3</v>
      </c>
      <c r="T11" s="1">
        <f t="shared" si="5"/>
        <v>139.9219765929779</v>
      </c>
      <c r="U11" s="6">
        <f t="shared" si="4"/>
        <v>1.6509200743494419E-3</v>
      </c>
      <c r="V11" s="1">
        <f t="shared" si="6"/>
        <v>133.96319702602233</v>
      </c>
      <c r="W11" s="6">
        <f t="shared" si="7"/>
        <v>1.7243541892713135E-3</v>
      </c>
      <c r="X11" s="1">
        <f t="shared" si="8"/>
        <v>131.02583242914744</v>
      </c>
      <c r="Y11" s="6">
        <f t="shared" si="9"/>
        <v>1.7630111232066687E-3</v>
      </c>
      <c r="Z11" s="1">
        <f t="shared" si="10"/>
        <v>129.47955507173327</v>
      </c>
      <c r="AA11" s="6">
        <f t="shared" si="11"/>
        <v>1.7840654447107355E-3</v>
      </c>
      <c r="AB11" s="1">
        <f t="shared" si="12"/>
        <v>128.63738221157058</v>
      </c>
      <c r="AC11" s="6">
        <f t="shared" si="13"/>
        <v>1.7957454981482215E-3</v>
      </c>
      <c r="AD11" s="1">
        <f t="shared" si="14"/>
        <v>128.17018007407114</v>
      </c>
      <c r="AE11" s="6">
        <f t="shared" si="15"/>
        <v>1.8022912963569389E-3</v>
      </c>
      <c r="AF11" s="1">
        <f t="shared" si="16"/>
        <v>127.90834814572244</v>
      </c>
      <c r="AG11" s="6">
        <f t="shared" si="17"/>
        <v>1.8059806365166098E-3</v>
      </c>
      <c r="AH11" s="1">
        <f t="shared" si="18"/>
        <v>127.76077453933561</v>
      </c>
      <c r="AI11" s="6">
        <f t="shared" si="19"/>
        <v>1.8080666842613621E-3</v>
      </c>
      <c r="AJ11" s="1">
        <f t="shared" si="20"/>
        <v>127.67733262954552</v>
      </c>
      <c r="AK11" s="6">
        <f t="shared" si="21"/>
        <v>1.8092483234298457E-3</v>
      </c>
      <c r="AL11" s="6">
        <f t="shared" si="22"/>
        <v>1.2664738264008921E-2</v>
      </c>
      <c r="AM11" s="6">
        <f t="shared" si="23"/>
        <v>-2.5329476528017842E-3</v>
      </c>
      <c r="AN11" s="2"/>
      <c r="AO11" s="6"/>
      <c r="AP11" s="1"/>
      <c r="AQ11" s="2"/>
      <c r="AR11" s="6"/>
      <c r="AS11" s="1"/>
      <c r="AT11" s="6"/>
      <c r="AU11" s="6"/>
    </row>
    <row r="13" spans="1:47">
      <c r="L13" s="6"/>
    </row>
    <row r="31" spans="4:23">
      <c r="D31">
        <f xml:space="preserve"> 1000*9*F31</f>
        <v>0</v>
      </c>
      <c r="E31">
        <v>0</v>
      </c>
      <c r="F31">
        <v>0</v>
      </c>
      <c r="J31">
        <f xml:space="preserve"> 1000*9*L31</f>
        <v>0</v>
      </c>
      <c r="K31">
        <v>0</v>
      </c>
      <c r="L31">
        <v>0</v>
      </c>
      <c r="P31">
        <f xml:space="preserve"> 1000*9*R31</f>
        <v>0</v>
      </c>
      <c r="Q31">
        <v>0</v>
      </c>
      <c r="R31">
        <v>0</v>
      </c>
      <c r="U31">
        <f xml:space="preserve"> 1000*9*W31</f>
        <v>0</v>
      </c>
      <c r="V31">
        <v>0</v>
      </c>
      <c r="W31">
        <v>0</v>
      </c>
    </row>
    <row r="32" spans="4:23">
      <c r="D32">
        <f t="shared" ref="D32:D41" si="26" xml:space="preserve"> 1000*9*F32</f>
        <v>6930</v>
      </c>
      <c r="E32" s="7">
        <v>7.8867277390913505E-4</v>
      </c>
      <c r="F32">
        <v>0.77</v>
      </c>
      <c r="J32">
        <f t="shared" ref="J32:J41" si="27" xml:space="preserve"> 1000*9*L32</f>
        <v>6930</v>
      </c>
      <c r="K32" s="7">
        <v>8.0754895518710503E-4</v>
      </c>
      <c r="L32">
        <v>0.77</v>
      </c>
      <c r="P32">
        <f t="shared" ref="P32:P41" si="28" xml:space="preserve"> 1000*9*R32</f>
        <v>6930</v>
      </c>
      <c r="Q32" s="7">
        <v>8.38809347750826E-4</v>
      </c>
      <c r="R32">
        <v>0.77</v>
      </c>
      <c r="U32">
        <f t="shared" ref="U32:U41" si="29" xml:space="preserve"> 1000*9*W32</f>
        <v>6930</v>
      </c>
      <c r="V32" s="7">
        <v>8.6010295043293902E-4</v>
      </c>
      <c r="W32">
        <v>0.77</v>
      </c>
    </row>
    <row r="33" spans="4:23">
      <c r="D33">
        <f t="shared" si="26"/>
        <v>13860</v>
      </c>
      <c r="E33">
        <v>1.5775666683365899E-3</v>
      </c>
      <c r="F33">
        <v>1.54</v>
      </c>
      <c r="J33">
        <f t="shared" si="27"/>
        <v>13860</v>
      </c>
      <c r="K33">
        <v>1.6570582836626601E-3</v>
      </c>
      <c r="L33">
        <v>1.54</v>
      </c>
      <c r="P33">
        <f t="shared" si="28"/>
        <v>13860</v>
      </c>
      <c r="Q33">
        <v>1.67786208850852E-3</v>
      </c>
      <c r="R33">
        <v>1.54</v>
      </c>
      <c r="U33">
        <f t="shared" si="29"/>
        <v>13860</v>
      </c>
      <c r="V33">
        <v>1.76772715582586E-3</v>
      </c>
      <c r="W33">
        <v>1.54</v>
      </c>
    </row>
    <row r="34" spans="4:23">
      <c r="D34">
        <f t="shared" si="26"/>
        <v>20790</v>
      </c>
      <c r="E34">
        <v>2.3666817721524902E-3</v>
      </c>
      <c r="F34">
        <v>2.31</v>
      </c>
      <c r="J34">
        <f t="shared" si="27"/>
        <v>20790</v>
      </c>
      <c r="K34">
        <v>2.5558217156309098E-3</v>
      </c>
      <c r="L34">
        <v>2.31</v>
      </c>
      <c r="P34">
        <f t="shared" si="28"/>
        <v>20790</v>
      </c>
      <c r="Q34">
        <v>2.5171583259370302E-3</v>
      </c>
      <c r="R34">
        <v>2.31</v>
      </c>
      <c r="U34">
        <f t="shared" si="29"/>
        <v>20790</v>
      </c>
      <c r="V34">
        <v>2.7317046617177502E-3</v>
      </c>
      <c r="W34">
        <v>2.31</v>
      </c>
    </row>
    <row r="35" spans="4:23">
      <c r="D35">
        <f t="shared" si="26"/>
        <v>27720</v>
      </c>
      <c r="E35">
        <v>3.1560181742718999E-3</v>
      </c>
      <c r="F35">
        <v>3.08</v>
      </c>
      <c r="J35">
        <f t="shared" si="27"/>
        <v>27720</v>
      </c>
      <c r="K35">
        <v>3.5135353674884298E-3</v>
      </c>
      <c r="L35">
        <v>3.08</v>
      </c>
      <c r="P35">
        <f t="shared" si="28"/>
        <v>27720</v>
      </c>
      <c r="Q35">
        <v>3.35669816375927E-3</v>
      </c>
      <c r="R35">
        <v>3.08</v>
      </c>
      <c r="U35">
        <f t="shared" si="29"/>
        <v>27720</v>
      </c>
      <c r="V35">
        <v>3.7640018244501799E-3</v>
      </c>
      <c r="W35">
        <v>3.08</v>
      </c>
    </row>
    <row r="36" spans="4:23">
      <c r="D36">
        <f t="shared" si="26"/>
        <v>34650</v>
      </c>
      <c r="E36">
        <v>3.9455759636551502E-3</v>
      </c>
      <c r="F36">
        <v>3.85</v>
      </c>
      <c r="J36">
        <f t="shared" si="27"/>
        <v>34650</v>
      </c>
      <c r="K36">
        <v>4.5435811816797698E-3</v>
      </c>
      <c r="L36">
        <v>3.85</v>
      </c>
      <c r="P36">
        <f t="shared" si="28"/>
        <v>34650</v>
      </c>
      <c r="Q36">
        <v>4.1964817057582298E-3</v>
      </c>
      <c r="R36">
        <v>3.85</v>
      </c>
      <c r="U36">
        <f t="shared" si="29"/>
        <v>34650</v>
      </c>
      <c r="V36">
        <v>4.8815424254001899E-3</v>
      </c>
      <c r="W36">
        <v>3.85</v>
      </c>
    </row>
    <row r="37" spans="4:23">
      <c r="D37">
        <f t="shared" si="26"/>
        <v>41580</v>
      </c>
      <c r="E37">
        <v>4.73535522930756E-3</v>
      </c>
      <c r="F37">
        <v>4.62</v>
      </c>
      <c r="J37">
        <f t="shared" si="27"/>
        <v>41580</v>
      </c>
      <c r="K37">
        <v>5.6653583942130699E-3</v>
      </c>
      <c r="L37">
        <v>4.62</v>
      </c>
      <c r="P37">
        <f t="shared" si="28"/>
        <v>41580</v>
      </c>
      <c r="Q37">
        <v>5.0365090557750302E-3</v>
      </c>
      <c r="R37">
        <v>4.62</v>
      </c>
      <c r="U37">
        <f t="shared" si="29"/>
        <v>41580</v>
      </c>
      <c r="V37">
        <v>6.1096754618957397E-3</v>
      </c>
      <c r="W37">
        <v>4.62</v>
      </c>
    </row>
    <row r="38" spans="4:23">
      <c r="D38">
        <f t="shared" si="26"/>
        <v>48510</v>
      </c>
      <c r="E38">
        <v>5.5253560602801797E-3</v>
      </c>
      <c r="F38">
        <v>5.39</v>
      </c>
      <c r="J38">
        <f t="shared" si="27"/>
        <v>48510</v>
      </c>
      <c r="K38">
        <v>6.9089526611642001E-3</v>
      </c>
      <c r="L38">
        <v>5.39</v>
      </c>
      <c r="P38">
        <f t="shared" si="28"/>
        <v>48510</v>
      </c>
      <c r="Q38">
        <v>5.8767803177109798E-3</v>
      </c>
      <c r="R38">
        <v>5.39</v>
      </c>
      <c r="U38">
        <f t="shared" si="29"/>
        <v>48510</v>
      </c>
      <c r="V38">
        <v>7.4895703170550004E-3</v>
      </c>
      <c r="W38">
        <v>5.39</v>
      </c>
    </row>
    <row r="39" spans="4:23">
      <c r="D39">
        <f t="shared" si="26"/>
        <v>55440</v>
      </c>
      <c r="E39">
        <v>6.3155785456693904E-3</v>
      </c>
      <c r="F39">
        <v>6.16</v>
      </c>
      <c r="J39">
        <f t="shared" si="27"/>
        <v>55440</v>
      </c>
      <c r="K39">
        <v>8.3258727662082806E-3</v>
      </c>
      <c r="L39">
        <v>6.16</v>
      </c>
      <c r="P39">
        <f t="shared" si="28"/>
        <v>55440</v>
      </c>
      <c r="Q39">
        <v>6.71729559552666E-3</v>
      </c>
      <c r="R39">
        <v>6.16</v>
      </c>
      <c r="U39">
        <f t="shared" si="29"/>
        <v>55440</v>
      </c>
      <c r="V39">
        <v>9.0968417557904194E-3</v>
      </c>
      <c r="W39">
        <v>6.16</v>
      </c>
    </row>
    <row r="40" spans="4:23">
      <c r="D40">
        <f t="shared" si="26"/>
        <v>62370</v>
      </c>
      <c r="E40">
        <v>7.1060227746170199E-3</v>
      </c>
      <c r="F40">
        <v>6.93</v>
      </c>
      <c r="J40">
        <f t="shared" si="27"/>
        <v>62370</v>
      </c>
      <c r="K40">
        <v>1.0019636820974899E-2</v>
      </c>
      <c r="L40">
        <v>6.93</v>
      </c>
      <c r="P40">
        <f t="shared" si="28"/>
        <v>62370</v>
      </c>
      <c r="Q40">
        <v>7.5580549932427197E-3</v>
      </c>
      <c r="R40">
        <v>6.93</v>
      </c>
      <c r="U40">
        <f t="shared" si="29"/>
        <v>62370</v>
      </c>
      <c r="V40">
        <v>1.11026772099124E-2</v>
      </c>
      <c r="W40">
        <v>6.93</v>
      </c>
    </row>
    <row r="41" spans="4:23">
      <c r="D41">
        <f t="shared" si="26"/>
        <v>69300</v>
      </c>
      <c r="E41">
        <v>7.8966888363109899E-3</v>
      </c>
      <c r="F41">
        <v>7.7</v>
      </c>
      <c r="J41">
        <f t="shared" si="27"/>
        <v>69300</v>
      </c>
      <c r="K41">
        <v>1.2286106245138101E-2</v>
      </c>
      <c r="L41">
        <v>7.7</v>
      </c>
      <c r="P41">
        <f t="shared" si="28"/>
        <v>69300</v>
      </c>
      <c r="Q41">
        <v>8.3990586149394995E-3</v>
      </c>
      <c r="R41">
        <v>7.7</v>
      </c>
      <c r="U41">
        <f t="shared" si="29"/>
        <v>69300</v>
      </c>
      <c r="V41">
        <v>1.41034473399838E-2</v>
      </c>
      <c r="W41">
        <v>7.7</v>
      </c>
    </row>
    <row r="43" spans="4:23">
      <c r="D43">
        <f xml:space="preserve"> 1000*9*F43</f>
        <v>0</v>
      </c>
      <c r="E43">
        <v>0</v>
      </c>
      <c r="F43">
        <v>0</v>
      </c>
      <c r="J43">
        <f xml:space="preserve"> 1000*9*L43</f>
        <v>0</v>
      </c>
      <c r="K43">
        <v>0</v>
      </c>
      <c r="L43">
        <v>0</v>
      </c>
      <c r="P43">
        <f xml:space="preserve"> 1000*9*R43</f>
        <v>0</v>
      </c>
      <c r="Q43">
        <v>0</v>
      </c>
      <c r="R43">
        <v>0</v>
      </c>
      <c r="U43">
        <f xml:space="preserve"> 1000*9*W43</f>
        <v>0</v>
      </c>
      <c r="V43">
        <v>0</v>
      </c>
      <c r="W43">
        <v>0</v>
      </c>
    </row>
    <row r="44" spans="4:23">
      <c r="D44">
        <f t="shared" ref="D44:D53" si="30" xml:space="preserve"> 1000*9*F44</f>
        <v>6930</v>
      </c>
      <c r="E44" s="7">
        <v>-6.6147924508250095E-5</v>
      </c>
      <c r="F44">
        <v>0.77</v>
      </c>
      <c r="J44">
        <f t="shared" ref="J44:J53" si="31" xml:space="preserve"> 1000*9*L44</f>
        <v>6930</v>
      </c>
      <c r="K44" s="7">
        <v>-3.9740356897201898E-5</v>
      </c>
      <c r="L44">
        <v>0.77</v>
      </c>
      <c r="P44">
        <f t="shared" ref="P44:P53" si="32" xml:space="preserve"> 1000*9*R44</f>
        <v>6930</v>
      </c>
      <c r="Q44" s="7">
        <v>-3.8725636570389201E-5</v>
      </c>
      <c r="R44">
        <v>0.77</v>
      </c>
      <c r="U44">
        <f t="shared" ref="U44:U53" si="33" xml:space="preserve"> 1000*9*W44</f>
        <v>6930</v>
      </c>
      <c r="V44" s="7">
        <v>-3.9765701208236999E-5</v>
      </c>
      <c r="W44">
        <v>0.77</v>
      </c>
    </row>
    <row r="45" spans="4:23">
      <c r="D45">
        <f t="shared" si="30"/>
        <v>13860</v>
      </c>
      <c r="E45" s="7">
        <v>-1.3224179199473101E-4</v>
      </c>
      <c r="F45">
        <v>1.54</v>
      </c>
      <c r="J45">
        <f t="shared" si="31"/>
        <v>13860</v>
      </c>
      <c r="K45" s="7">
        <v>-8.1798314736803804E-5</v>
      </c>
      <c r="L45">
        <v>1.54</v>
      </c>
      <c r="P45">
        <f t="shared" si="32"/>
        <v>13860</v>
      </c>
      <c r="Q45" s="7">
        <v>-7.7442696223015907E-5</v>
      </c>
      <c r="R45">
        <v>1.54</v>
      </c>
      <c r="U45">
        <f t="shared" si="33"/>
        <v>13860</v>
      </c>
      <c r="V45" s="7">
        <v>-8.1845975547301903E-5</v>
      </c>
      <c r="W45">
        <v>1.54</v>
      </c>
    </row>
    <row r="46" spans="4:23">
      <c r="D46">
        <f t="shared" si="30"/>
        <v>20790</v>
      </c>
      <c r="E46" s="7">
        <v>-1.98281934538437E-4</v>
      </c>
      <c r="F46">
        <v>2.31</v>
      </c>
      <c r="J46">
        <f t="shared" si="31"/>
        <v>20790</v>
      </c>
      <c r="K46" s="7">
        <v>-1.2662445445963099E-4</v>
      </c>
      <c r="L46">
        <v>2.31</v>
      </c>
      <c r="P46">
        <f t="shared" si="32"/>
        <v>20790</v>
      </c>
      <c r="Q46" s="7">
        <v>-1.16151247161425E-4</v>
      </c>
      <c r="R46">
        <v>2.31</v>
      </c>
      <c r="U46">
        <f t="shared" si="33"/>
        <v>20790</v>
      </c>
      <c r="V46" s="7">
        <v>-1.26695185273993E-4</v>
      </c>
      <c r="W46">
        <v>2.31</v>
      </c>
    </row>
    <row r="47" spans="4:23">
      <c r="D47">
        <f t="shared" si="30"/>
        <v>27720</v>
      </c>
      <c r="E47" s="7">
        <v>-2.6426868102592501E-4</v>
      </c>
      <c r="F47">
        <v>3.08</v>
      </c>
      <c r="J47">
        <f t="shared" si="31"/>
        <v>27720</v>
      </c>
      <c r="K47" s="7">
        <v>-1.74834092028232E-4</v>
      </c>
      <c r="L47">
        <v>3.08</v>
      </c>
      <c r="P47">
        <f t="shared" si="32"/>
        <v>27720</v>
      </c>
      <c r="Q47" s="7">
        <v>-1.5485135687270799E-4</v>
      </c>
      <c r="R47">
        <v>3.08</v>
      </c>
      <c r="U47">
        <f t="shared" si="33"/>
        <v>27720</v>
      </c>
      <c r="V47" s="7">
        <v>-1.7493760640103099E-4</v>
      </c>
      <c r="W47">
        <v>3.08</v>
      </c>
    </row>
    <row r="48" spans="4:23">
      <c r="D48">
        <f t="shared" si="30"/>
        <v>34650</v>
      </c>
      <c r="E48" s="7">
        <v>-3.3020235719159101E-4</v>
      </c>
      <c r="F48">
        <v>3.85</v>
      </c>
      <c r="J48">
        <f t="shared" si="31"/>
        <v>34650</v>
      </c>
      <c r="K48" s="7">
        <v>-2.2730443084135901E-4</v>
      </c>
      <c r="L48">
        <v>3.85</v>
      </c>
      <c r="P48">
        <f t="shared" si="32"/>
        <v>34650</v>
      </c>
      <c r="Q48" s="7">
        <v>-1.9354309213507999E-4</v>
      </c>
      <c r="R48">
        <v>3.85</v>
      </c>
      <c r="U48">
        <f t="shared" si="33"/>
        <v>34650</v>
      </c>
      <c r="V48" s="7">
        <v>-2.2747147235889899E-4</v>
      </c>
      <c r="W48">
        <v>3.85</v>
      </c>
    </row>
    <row r="49" spans="4:23">
      <c r="D49">
        <f t="shared" si="30"/>
        <v>41580</v>
      </c>
      <c r="E49" s="7">
        <v>-3.9608328565397398E-4</v>
      </c>
      <c r="F49">
        <v>4.62</v>
      </c>
      <c r="J49">
        <f t="shared" si="31"/>
        <v>41580</v>
      </c>
      <c r="K49" s="7">
        <v>-2.8535891477805299E-4</v>
      </c>
      <c r="L49">
        <v>4.62</v>
      </c>
      <c r="P49">
        <f t="shared" si="32"/>
        <v>41580</v>
      </c>
      <c r="Q49" s="7">
        <v>-2.3222651903155399E-4</v>
      </c>
      <c r="R49">
        <v>4.62</v>
      </c>
      <c r="U49">
        <f t="shared" si="33"/>
        <v>41580</v>
      </c>
      <c r="V49" s="7">
        <v>-2.8567184087970499E-4</v>
      </c>
      <c r="W49">
        <v>4.62</v>
      </c>
    </row>
    <row r="50" spans="4:23">
      <c r="D50">
        <f t="shared" si="30"/>
        <v>48510</v>
      </c>
      <c r="E50" s="7">
        <v>-4.6191178595340502E-4</v>
      </c>
      <c r="F50">
        <v>5.39</v>
      </c>
      <c r="J50">
        <f t="shared" si="31"/>
        <v>48510</v>
      </c>
      <c r="K50" s="7">
        <v>-3.5115623033715499E-4</v>
      </c>
      <c r="L50">
        <v>5.39</v>
      </c>
      <c r="P50">
        <f t="shared" si="32"/>
        <v>48510</v>
      </c>
      <c r="Q50" s="7">
        <v>-2.7090170295165699E-4</v>
      </c>
      <c r="R50">
        <v>5.39</v>
      </c>
      <c r="U50">
        <f t="shared" si="33"/>
        <v>48510</v>
      </c>
      <c r="V50" s="7">
        <v>-3.5183689511593597E-4</v>
      </c>
      <c r="W50">
        <v>5.39</v>
      </c>
    </row>
    <row r="51" spans="4:23">
      <c r="D51">
        <f t="shared" si="30"/>
        <v>55440</v>
      </c>
      <c r="E51" s="7">
        <v>-5.2768817458946702E-4</v>
      </c>
      <c r="F51">
        <v>6.16</v>
      </c>
      <c r="J51">
        <f t="shared" si="31"/>
        <v>55440</v>
      </c>
      <c r="K51" s="7">
        <v>-4.2864302706828997E-4</v>
      </c>
      <c r="L51">
        <v>6.16</v>
      </c>
      <c r="P51">
        <f t="shared" si="32"/>
        <v>55440</v>
      </c>
      <c r="Q51" s="7">
        <v>-3.0956870860914199E-4</v>
      </c>
      <c r="R51">
        <v>6.16</v>
      </c>
      <c r="U51">
        <f t="shared" si="33"/>
        <v>55440</v>
      </c>
      <c r="V51" s="7">
        <v>-4.30358624910906E-4</v>
      </c>
      <c r="W51">
        <v>6.16</v>
      </c>
    </row>
    <row r="52" spans="4:23">
      <c r="D52">
        <f t="shared" si="30"/>
        <v>62370</v>
      </c>
      <c r="E52" s="7">
        <v>-5.9341276505640503E-4</v>
      </c>
      <c r="F52">
        <v>6.93</v>
      </c>
      <c r="J52">
        <f t="shared" si="31"/>
        <v>62370</v>
      </c>
      <c r="K52" s="7">
        <v>-5.2647418836870505E-4</v>
      </c>
      <c r="L52">
        <v>6.93</v>
      </c>
      <c r="P52">
        <f t="shared" si="32"/>
        <v>62370</v>
      </c>
      <c r="Q52" s="7">
        <v>-3.4822760004269999E-4</v>
      </c>
      <c r="R52">
        <v>6.93</v>
      </c>
      <c r="U52">
        <f t="shared" si="33"/>
        <v>62370</v>
      </c>
      <c r="V52" s="7">
        <v>-5.3178674862710597E-4</v>
      </c>
      <c r="W52">
        <v>6.93</v>
      </c>
    </row>
    <row r="53" spans="4:23">
      <c r="D53">
        <f t="shared" si="30"/>
        <v>69300</v>
      </c>
      <c r="E53" s="7">
        <v>-6.59085867879126E-4</v>
      </c>
      <c r="F53">
        <v>7.7</v>
      </c>
      <c r="J53">
        <f t="shared" si="31"/>
        <v>69300</v>
      </c>
      <c r="K53" s="7">
        <v>-6.7213876171147901E-4</v>
      </c>
      <c r="L53">
        <v>7.7</v>
      </c>
      <c r="P53">
        <f t="shared" si="32"/>
        <v>69300</v>
      </c>
      <c r="Q53" s="7">
        <v>-3.8687844063154899E-4</v>
      </c>
      <c r="R53">
        <v>7.7</v>
      </c>
      <c r="U53">
        <f t="shared" si="33"/>
        <v>69300</v>
      </c>
      <c r="V53" s="7">
        <v>-6.9667518785002005E-4</v>
      </c>
      <c r="W53">
        <v>7.7</v>
      </c>
    </row>
    <row r="56" spans="4:23">
      <c r="K56" s="7"/>
    </row>
    <row r="57" spans="4:23">
      <c r="K57" s="7"/>
    </row>
    <row r="58" spans="4:23">
      <c r="K58" s="7"/>
    </row>
    <row r="59" spans="4:23">
      <c r="K59" s="7"/>
    </row>
    <row r="60" spans="4:23">
      <c r="K60" s="7"/>
    </row>
    <row r="61" spans="4:23">
      <c r="K61" s="7"/>
    </row>
    <row r="62" spans="4:23">
      <c r="K62" s="7"/>
    </row>
    <row r="63" spans="4:23">
      <c r="K63" s="7"/>
    </row>
    <row r="64" spans="4:23">
      <c r="K64" s="7"/>
    </row>
    <row r="65" spans="11:11">
      <c r="K65" s="7"/>
    </row>
  </sheetData>
  <pageMargins left="0.511811024" right="0.511811024" top="0.78740157499999996" bottom="0.78740157499999996" header="0.31496062000000002" footer="0.31496062000000002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S459"/>
  <sheetViews>
    <sheetView workbookViewId="0"/>
  </sheetViews>
  <sheetFormatPr defaultRowHeight="15"/>
  <sheetData>
    <row r="4" spans="2:19">
      <c r="C4" s="7"/>
      <c r="G4" s="7"/>
      <c r="S4" s="7"/>
    </row>
    <row r="5" spans="2:19">
      <c r="C5" s="7"/>
      <c r="G5" s="7"/>
      <c r="S5" s="7"/>
    </row>
    <row r="6" spans="2:19">
      <c r="C6" s="7"/>
      <c r="G6" s="7"/>
      <c r="S6" s="7"/>
    </row>
    <row r="7" spans="2:19">
      <c r="C7" s="7"/>
      <c r="G7" s="7"/>
      <c r="S7" s="7"/>
    </row>
    <row r="8" spans="2:19">
      <c r="C8" s="7"/>
      <c r="G8" s="7"/>
      <c r="S8" s="7"/>
    </row>
    <row r="9" spans="2:19">
      <c r="C9" s="7"/>
      <c r="G9" s="7"/>
      <c r="S9" s="7"/>
    </row>
    <row r="10" spans="2:19">
      <c r="C10" s="7"/>
      <c r="G10" s="7"/>
      <c r="S10" s="7"/>
    </row>
    <row r="11" spans="2:19">
      <c r="C11" s="7"/>
      <c r="G11" s="7"/>
      <c r="S11" s="7"/>
    </row>
    <row r="13" spans="2:19">
      <c r="B13" s="7"/>
      <c r="C13" s="7"/>
      <c r="G13" s="7"/>
      <c r="S13" s="7"/>
    </row>
    <row r="14" spans="2:19">
      <c r="C14" s="7"/>
      <c r="G14" s="7"/>
      <c r="S14" s="7"/>
    </row>
    <row r="15" spans="2:19">
      <c r="C15" s="7"/>
      <c r="G15" s="7"/>
      <c r="S15" s="7"/>
    </row>
    <row r="16" spans="2:19">
      <c r="C16" s="7"/>
      <c r="G16" s="7"/>
      <c r="S16" s="7"/>
    </row>
    <row r="17" spans="2:19">
      <c r="C17" s="7"/>
      <c r="G17" s="7"/>
      <c r="S17" s="7"/>
    </row>
    <row r="18" spans="2:19">
      <c r="C18" s="7"/>
      <c r="G18" s="7"/>
      <c r="S18" s="7"/>
    </row>
    <row r="19" spans="2:19">
      <c r="C19" s="7"/>
      <c r="G19" s="7"/>
      <c r="S19" s="7"/>
    </row>
    <row r="20" spans="2:19">
      <c r="C20" s="7"/>
      <c r="G20" s="7"/>
      <c r="S20" s="7"/>
    </row>
    <row r="22" spans="2:19">
      <c r="B22" s="7"/>
      <c r="C22" s="7"/>
      <c r="G22" s="7"/>
      <c r="S22" s="7"/>
    </row>
    <row r="23" spans="2:19">
      <c r="C23" s="7"/>
      <c r="G23" s="7"/>
      <c r="J23" s="7"/>
      <c r="K23" s="7"/>
      <c r="N23" s="7"/>
      <c r="O23" s="7"/>
      <c r="S23" s="7"/>
    </row>
    <row r="24" spans="2:19">
      <c r="C24" s="7"/>
      <c r="G24" s="7"/>
      <c r="J24" s="7"/>
      <c r="K24" s="7"/>
      <c r="N24" s="7"/>
      <c r="O24" s="7"/>
      <c r="S24" s="7"/>
    </row>
    <row r="25" spans="2:19">
      <c r="C25" s="7"/>
      <c r="G25" s="7"/>
      <c r="J25" s="7"/>
      <c r="K25" s="7"/>
      <c r="O25" s="7"/>
      <c r="S25" s="7"/>
    </row>
    <row r="26" spans="2:19">
      <c r="C26" s="7"/>
      <c r="G26" s="7"/>
      <c r="K26" s="7"/>
      <c r="O26" s="7"/>
      <c r="S26" s="7"/>
    </row>
    <row r="27" spans="2:19">
      <c r="C27" s="7"/>
      <c r="G27" s="7"/>
      <c r="K27" s="7"/>
      <c r="O27" s="7"/>
      <c r="S27" s="7"/>
    </row>
    <row r="28" spans="2:19">
      <c r="C28" s="7"/>
      <c r="G28" s="7"/>
      <c r="K28" s="7"/>
      <c r="O28" s="7"/>
      <c r="S28" s="7"/>
    </row>
    <row r="29" spans="2:19">
      <c r="C29" s="7"/>
      <c r="G29" s="7"/>
      <c r="K29" s="7"/>
      <c r="O29" s="7"/>
      <c r="S29" s="7"/>
    </row>
    <row r="30" spans="2:19">
      <c r="K30" s="7"/>
      <c r="O30" s="7"/>
    </row>
    <row r="31" spans="2:19">
      <c r="B31" s="7"/>
      <c r="C31" s="7"/>
      <c r="G31" s="7"/>
      <c r="K31" s="7"/>
      <c r="O31" s="7"/>
      <c r="S31" s="7"/>
    </row>
    <row r="32" spans="2:19">
      <c r="C32" s="7"/>
      <c r="G32" s="7"/>
      <c r="K32" s="7"/>
      <c r="O32" s="7"/>
      <c r="S32" s="7"/>
    </row>
    <row r="33" spans="2:19">
      <c r="C33" s="7"/>
      <c r="G33" s="7"/>
      <c r="K33" s="7"/>
      <c r="O33" s="7"/>
      <c r="S33" s="7"/>
    </row>
    <row r="34" spans="2:19">
      <c r="C34" s="7"/>
      <c r="G34" s="7"/>
      <c r="K34" s="7"/>
      <c r="O34" s="7"/>
      <c r="S34" s="7"/>
    </row>
    <row r="35" spans="2:19">
      <c r="C35" s="7"/>
      <c r="G35" s="7"/>
      <c r="K35" s="7"/>
      <c r="O35" s="7"/>
      <c r="S35" s="7"/>
    </row>
    <row r="36" spans="2:19">
      <c r="C36" s="7"/>
      <c r="G36" s="7"/>
      <c r="K36" s="7"/>
      <c r="O36" s="7"/>
      <c r="S36" s="7"/>
    </row>
    <row r="37" spans="2:19">
      <c r="C37" s="7"/>
      <c r="G37" s="7"/>
      <c r="K37" s="7"/>
      <c r="O37" s="7"/>
      <c r="S37" s="7"/>
    </row>
    <row r="38" spans="2:19">
      <c r="C38" s="7"/>
      <c r="G38" s="7"/>
      <c r="K38" s="7"/>
      <c r="O38" s="7"/>
      <c r="S38" s="7"/>
    </row>
    <row r="39" spans="2:19">
      <c r="K39" s="7"/>
      <c r="O39" s="7"/>
    </row>
    <row r="40" spans="2:19">
      <c r="B40" s="7"/>
      <c r="C40" s="7"/>
      <c r="G40" s="7"/>
      <c r="K40" s="7"/>
      <c r="O40" s="7"/>
      <c r="S40" s="7"/>
    </row>
    <row r="41" spans="2:19">
      <c r="C41" s="7"/>
      <c r="G41" s="7"/>
      <c r="K41" s="7"/>
      <c r="O41" s="7"/>
      <c r="S41" s="7"/>
    </row>
    <row r="42" spans="2:19">
      <c r="C42" s="7"/>
      <c r="G42" s="7"/>
      <c r="K42" s="7"/>
      <c r="O42" s="7"/>
      <c r="S42" s="7"/>
    </row>
    <row r="43" spans="2:19">
      <c r="C43" s="7"/>
      <c r="G43" s="7"/>
      <c r="K43" s="7"/>
      <c r="O43" s="7"/>
      <c r="S43" s="7"/>
    </row>
    <row r="44" spans="2:19">
      <c r="C44" s="7"/>
      <c r="G44" s="7"/>
      <c r="K44" s="7"/>
      <c r="O44" s="7"/>
      <c r="S44" s="7"/>
    </row>
    <row r="45" spans="2:19">
      <c r="C45" s="7"/>
      <c r="G45" s="7"/>
      <c r="K45" s="7"/>
      <c r="O45" s="7"/>
      <c r="S45" s="7"/>
    </row>
    <row r="46" spans="2:19">
      <c r="C46" s="7"/>
      <c r="G46" s="7"/>
      <c r="K46" s="7"/>
      <c r="O46" s="7"/>
      <c r="S46" s="7"/>
    </row>
    <row r="47" spans="2:19">
      <c r="C47" s="7"/>
      <c r="G47" s="7"/>
      <c r="K47" s="7"/>
      <c r="O47" s="7"/>
      <c r="S47" s="7"/>
    </row>
    <row r="48" spans="2:19">
      <c r="K48" s="7"/>
      <c r="O48" s="7"/>
    </row>
    <row r="49" spans="2:19">
      <c r="B49" s="7"/>
      <c r="C49" s="7"/>
      <c r="G49" s="7"/>
      <c r="K49" s="7"/>
      <c r="O49" s="7"/>
      <c r="S49" s="7"/>
    </row>
    <row r="50" spans="2:19">
      <c r="C50" s="7"/>
      <c r="G50" s="7"/>
      <c r="K50" s="7"/>
      <c r="O50" s="7"/>
      <c r="S50" s="7"/>
    </row>
    <row r="51" spans="2:19">
      <c r="C51" s="7"/>
      <c r="G51" s="7"/>
      <c r="K51" s="7"/>
      <c r="O51" s="7"/>
      <c r="S51" s="7"/>
    </row>
    <row r="52" spans="2:19">
      <c r="C52" s="7"/>
      <c r="G52" s="7"/>
      <c r="K52" s="7"/>
      <c r="O52" s="7"/>
      <c r="S52" s="7"/>
    </row>
    <row r="53" spans="2:19">
      <c r="C53" s="7"/>
      <c r="G53" s="7"/>
      <c r="K53" s="7"/>
      <c r="O53" s="7"/>
      <c r="S53" s="7"/>
    </row>
    <row r="54" spans="2:19">
      <c r="C54" s="7"/>
      <c r="G54" s="7"/>
      <c r="K54" s="7"/>
      <c r="O54" s="7"/>
      <c r="S54" s="7"/>
    </row>
    <row r="55" spans="2:19">
      <c r="C55" s="7"/>
      <c r="G55" s="7"/>
      <c r="K55" s="7"/>
      <c r="O55" s="7"/>
      <c r="S55" s="7"/>
    </row>
    <row r="56" spans="2:19">
      <c r="C56" s="7"/>
      <c r="G56" s="7"/>
      <c r="K56" s="7"/>
      <c r="O56" s="7"/>
      <c r="S56" s="7"/>
    </row>
    <row r="57" spans="2:19">
      <c r="K57" s="7"/>
      <c r="O57" s="7"/>
    </row>
    <row r="58" spans="2:19">
      <c r="B58" s="7"/>
      <c r="C58" s="7"/>
      <c r="G58" s="7"/>
      <c r="K58" s="7"/>
      <c r="O58" s="7"/>
      <c r="S58" s="7"/>
    </row>
    <row r="59" spans="2:19">
      <c r="C59" s="7"/>
      <c r="G59" s="7"/>
      <c r="K59" s="7"/>
      <c r="O59" s="7"/>
      <c r="S59" s="7"/>
    </row>
    <row r="60" spans="2:19">
      <c r="C60" s="7"/>
      <c r="G60" s="7"/>
      <c r="K60" s="7"/>
      <c r="O60" s="7"/>
      <c r="S60" s="7"/>
    </row>
    <row r="61" spans="2:19">
      <c r="C61" s="7"/>
      <c r="G61" s="7"/>
      <c r="K61" s="7"/>
      <c r="O61" s="7"/>
      <c r="S61" s="7"/>
    </row>
    <row r="62" spans="2:19">
      <c r="C62" s="7"/>
      <c r="G62" s="7"/>
      <c r="K62" s="7"/>
      <c r="O62" s="7"/>
      <c r="S62" s="7"/>
    </row>
    <row r="63" spans="2:19">
      <c r="C63" s="7"/>
      <c r="G63" s="7"/>
      <c r="K63" s="7"/>
      <c r="O63" s="7"/>
      <c r="S63" s="7"/>
    </row>
    <row r="64" spans="2:19">
      <c r="C64" s="7"/>
      <c r="G64" s="7"/>
      <c r="K64" s="7"/>
      <c r="O64" s="7"/>
      <c r="S64" s="7"/>
    </row>
    <row r="65" spans="3:19">
      <c r="C65" s="7"/>
      <c r="G65" s="7"/>
      <c r="K65" s="7"/>
      <c r="O65" s="7"/>
      <c r="S65" s="7"/>
    </row>
    <row r="66" spans="3:19">
      <c r="K66" s="7"/>
      <c r="O66" s="7"/>
    </row>
    <row r="67" spans="3:19">
      <c r="C67" s="7"/>
      <c r="G67" s="7"/>
      <c r="K67" s="7"/>
      <c r="O67" s="7"/>
      <c r="S67" s="7"/>
    </row>
    <row r="68" spans="3:19">
      <c r="C68" s="7"/>
      <c r="G68" s="7"/>
      <c r="K68" s="7"/>
      <c r="O68" s="7"/>
      <c r="S68" s="7"/>
    </row>
    <row r="69" spans="3:19">
      <c r="C69" s="7"/>
      <c r="G69" s="7"/>
      <c r="K69" s="7"/>
      <c r="O69" s="7"/>
      <c r="S69" s="7"/>
    </row>
    <row r="70" spans="3:19">
      <c r="C70" s="7"/>
      <c r="G70" s="7"/>
      <c r="K70" s="7"/>
      <c r="O70" s="7"/>
      <c r="S70" s="7"/>
    </row>
    <row r="71" spans="3:19">
      <c r="C71" s="7"/>
      <c r="G71" s="7"/>
      <c r="K71" s="7"/>
      <c r="O71" s="7"/>
      <c r="S71" s="7"/>
    </row>
    <row r="72" spans="3:19">
      <c r="C72" s="7"/>
      <c r="G72" s="7"/>
      <c r="K72" s="7"/>
      <c r="O72" s="7"/>
      <c r="S72" s="7"/>
    </row>
    <row r="73" spans="3:19">
      <c r="C73" s="7"/>
      <c r="G73" s="7"/>
      <c r="K73" s="7"/>
      <c r="O73" s="7"/>
      <c r="S73" s="7"/>
    </row>
    <row r="74" spans="3:19">
      <c r="C74" s="7"/>
      <c r="K74" s="7"/>
      <c r="O74" s="7"/>
      <c r="S74" s="7"/>
    </row>
    <row r="75" spans="3:19">
      <c r="K75" s="7"/>
      <c r="O75" s="7"/>
    </row>
    <row r="76" spans="3:19">
      <c r="C76" s="7"/>
      <c r="G76" s="7"/>
      <c r="J76" s="7"/>
      <c r="K76" s="7"/>
      <c r="O76" s="7"/>
      <c r="S76" s="7"/>
    </row>
    <row r="77" spans="3:19">
      <c r="C77" s="7"/>
      <c r="G77" s="7"/>
      <c r="J77" s="7"/>
      <c r="K77" s="7"/>
      <c r="N77" s="7"/>
      <c r="O77" s="7"/>
      <c r="S77" s="7"/>
    </row>
    <row r="78" spans="3:19">
      <c r="C78" s="7"/>
      <c r="G78" s="7"/>
      <c r="J78" s="7"/>
      <c r="K78" s="7"/>
      <c r="N78" s="7"/>
      <c r="O78" s="7"/>
      <c r="S78" s="7"/>
    </row>
    <row r="79" spans="3:19">
      <c r="C79" s="7"/>
      <c r="G79" s="7"/>
      <c r="J79" s="7"/>
      <c r="K79" s="7"/>
      <c r="N79" s="7"/>
      <c r="O79" s="7"/>
      <c r="S79" s="7"/>
    </row>
    <row r="80" spans="3:19">
      <c r="C80" s="7"/>
      <c r="G80" s="7"/>
      <c r="J80" s="7"/>
      <c r="K80" s="7"/>
      <c r="N80" s="7"/>
      <c r="O80" s="7"/>
      <c r="S80" s="7"/>
    </row>
    <row r="81" spans="3:19">
      <c r="C81" s="7"/>
      <c r="G81" s="7"/>
      <c r="J81" s="7"/>
      <c r="K81" s="7"/>
      <c r="N81" s="7"/>
      <c r="O81" s="7"/>
      <c r="S81" s="7"/>
    </row>
    <row r="82" spans="3:19">
      <c r="C82" s="7"/>
      <c r="G82" s="7"/>
      <c r="J82" s="7"/>
      <c r="K82" s="7"/>
      <c r="N82" s="7"/>
      <c r="O82" s="7"/>
      <c r="S82" s="7"/>
    </row>
    <row r="83" spans="3:19">
      <c r="C83" s="7"/>
      <c r="J83" s="7"/>
      <c r="K83" s="7"/>
      <c r="N83" s="7"/>
      <c r="O83" s="7"/>
      <c r="S83" s="7"/>
    </row>
    <row r="84" spans="3:19">
      <c r="J84" s="7"/>
      <c r="K84" s="7"/>
      <c r="N84" s="7"/>
      <c r="O84" s="7"/>
    </row>
    <row r="85" spans="3:19">
      <c r="J85" s="7"/>
      <c r="K85" s="7"/>
      <c r="N85" s="7"/>
      <c r="O85" s="7"/>
    </row>
    <row r="86" spans="3:19">
      <c r="J86" s="7"/>
      <c r="K86" s="7"/>
      <c r="N86" s="7"/>
      <c r="O86" s="7"/>
    </row>
    <row r="87" spans="3:19">
      <c r="J87" s="7"/>
      <c r="K87" s="7"/>
      <c r="N87" s="7"/>
      <c r="O87" s="7"/>
    </row>
    <row r="88" spans="3:19">
      <c r="J88" s="7"/>
      <c r="K88" s="7"/>
      <c r="N88" s="7"/>
      <c r="O88" s="7"/>
    </row>
    <row r="89" spans="3:19">
      <c r="J89" s="7"/>
      <c r="K89" s="7"/>
      <c r="N89" s="7"/>
      <c r="O89" s="7"/>
    </row>
    <row r="90" spans="3:19">
      <c r="J90" s="7"/>
      <c r="K90" s="7"/>
      <c r="N90" s="7"/>
      <c r="O90" s="7"/>
    </row>
    <row r="91" spans="3:19">
      <c r="J91" s="7"/>
      <c r="K91" s="7"/>
      <c r="N91" s="7"/>
      <c r="O91" s="7"/>
    </row>
    <row r="92" spans="3:19">
      <c r="J92" s="7"/>
      <c r="K92" s="7"/>
      <c r="N92" s="7"/>
      <c r="O92" s="7"/>
    </row>
    <row r="93" spans="3:19">
      <c r="J93" s="7"/>
      <c r="K93" s="7"/>
      <c r="N93" s="7"/>
      <c r="O93" s="7"/>
    </row>
    <row r="94" spans="3:19">
      <c r="J94" s="7"/>
      <c r="K94" s="7"/>
      <c r="N94" s="7"/>
      <c r="O94" s="7"/>
    </row>
    <row r="95" spans="3:19">
      <c r="J95" s="7"/>
      <c r="K95" s="7"/>
      <c r="N95" s="7"/>
      <c r="O95" s="7"/>
    </row>
    <row r="96" spans="3:19">
      <c r="J96" s="7"/>
      <c r="K96" s="7"/>
      <c r="N96" s="7"/>
      <c r="O96" s="7"/>
    </row>
    <row r="97" spans="10:15">
      <c r="J97" s="7"/>
      <c r="K97" s="7"/>
      <c r="N97" s="7"/>
      <c r="O97" s="7"/>
    </row>
    <row r="98" spans="10:15">
      <c r="J98" s="7"/>
      <c r="K98" s="7"/>
      <c r="N98" s="7"/>
      <c r="O98" s="7"/>
    </row>
    <row r="99" spans="10:15">
      <c r="J99" s="7"/>
      <c r="K99" s="7"/>
      <c r="N99" s="7"/>
      <c r="O99" s="7"/>
    </row>
    <row r="100" spans="10:15">
      <c r="J100" s="7"/>
      <c r="K100" s="7"/>
      <c r="O100" s="7"/>
    </row>
    <row r="101" spans="10:15">
      <c r="K101" s="7"/>
      <c r="O101" s="7"/>
    </row>
    <row r="102" spans="10:15">
      <c r="K102" s="7"/>
      <c r="O102" s="7"/>
    </row>
    <row r="103" spans="10:15">
      <c r="K103" s="7"/>
      <c r="O103" s="7"/>
    </row>
    <row r="104" spans="10:15">
      <c r="K104" s="7"/>
      <c r="O104" s="7"/>
    </row>
    <row r="105" spans="10:15">
      <c r="K105" s="7"/>
      <c r="O105" s="7"/>
    </row>
    <row r="106" spans="10:15">
      <c r="K106" s="7"/>
      <c r="O106" s="7"/>
    </row>
    <row r="107" spans="10:15">
      <c r="K107" s="7"/>
      <c r="O107" s="7"/>
    </row>
    <row r="108" spans="10:15">
      <c r="K108" s="7"/>
      <c r="O108" s="7"/>
    </row>
    <row r="109" spans="10:15">
      <c r="K109" s="7"/>
      <c r="O109" s="7"/>
    </row>
    <row r="110" spans="10:15">
      <c r="K110" s="7"/>
      <c r="O110" s="7"/>
    </row>
    <row r="111" spans="10:15">
      <c r="K111" s="7"/>
      <c r="O111" s="7"/>
    </row>
    <row r="112" spans="10:15">
      <c r="K112" s="7"/>
      <c r="O112" s="7"/>
    </row>
    <row r="113" spans="11:15">
      <c r="K113" s="7"/>
      <c r="O113" s="7"/>
    </row>
    <row r="114" spans="11:15">
      <c r="K114" s="7"/>
      <c r="O114" s="7"/>
    </row>
    <row r="115" spans="11:15">
      <c r="K115" s="7"/>
      <c r="O115" s="7"/>
    </row>
    <row r="116" spans="11:15">
      <c r="K116" s="7"/>
      <c r="O116" s="7"/>
    </row>
    <row r="117" spans="11:15">
      <c r="K117" s="7"/>
      <c r="O117" s="7"/>
    </row>
    <row r="118" spans="11:15">
      <c r="K118" s="7"/>
      <c r="O118" s="7"/>
    </row>
    <row r="119" spans="11:15">
      <c r="K119" s="7"/>
      <c r="O119" s="7"/>
    </row>
    <row r="120" spans="11:15">
      <c r="K120" s="7"/>
      <c r="O120" s="7"/>
    </row>
    <row r="121" spans="11:15">
      <c r="K121" s="7"/>
      <c r="O121" s="7"/>
    </row>
    <row r="122" spans="11:15">
      <c r="K122" s="7"/>
      <c r="O122" s="7"/>
    </row>
    <row r="123" spans="11:15">
      <c r="K123" s="7"/>
      <c r="O123" s="7"/>
    </row>
    <row r="124" spans="11:15">
      <c r="K124" s="7"/>
      <c r="O124" s="7"/>
    </row>
    <row r="125" spans="11:15">
      <c r="K125" s="7"/>
      <c r="O125" s="7"/>
    </row>
    <row r="126" spans="11:15">
      <c r="K126" s="7"/>
      <c r="O126" s="7"/>
    </row>
    <row r="127" spans="11:15">
      <c r="K127" s="7"/>
      <c r="O127" s="7"/>
    </row>
    <row r="128" spans="11:15">
      <c r="K128" s="7"/>
      <c r="O128" s="7"/>
    </row>
    <row r="129" spans="11:15">
      <c r="K129" s="7"/>
      <c r="O129" s="7"/>
    </row>
    <row r="130" spans="11:15">
      <c r="K130" s="7"/>
      <c r="O130" s="7"/>
    </row>
    <row r="131" spans="11:15">
      <c r="K131" s="7"/>
      <c r="O131" s="7"/>
    </row>
    <row r="132" spans="11:15">
      <c r="K132" s="7"/>
      <c r="O132" s="7"/>
    </row>
    <row r="133" spans="11:15">
      <c r="K133" s="7"/>
      <c r="O133" s="7"/>
    </row>
    <row r="134" spans="11:15">
      <c r="K134" s="7"/>
      <c r="O134" s="7"/>
    </row>
    <row r="135" spans="11:15">
      <c r="K135" s="7"/>
      <c r="O135" s="7"/>
    </row>
    <row r="136" spans="11:15">
      <c r="K136" s="7"/>
      <c r="O136" s="7"/>
    </row>
    <row r="137" spans="11:15">
      <c r="K137" s="7"/>
      <c r="O137" s="7"/>
    </row>
    <row r="138" spans="11:15">
      <c r="K138" s="7"/>
      <c r="O138" s="7"/>
    </row>
    <row r="139" spans="11:15">
      <c r="K139" s="7"/>
      <c r="O139" s="7"/>
    </row>
    <row r="140" spans="11:15">
      <c r="K140" s="7"/>
      <c r="O140" s="7"/>
    </row>
    <row r="141" spans="11:15">
      <c r="K141" s="7"/>
      <c r="O141" s="7"/>
    </row>
    <row r="142" spans="11:15">
      <c r="K142" s="7"/>
      <c r="O142" s="7"/>
    </row>
    <row r="143" spans="11:15">
      <c r="K143" s="7"/>
      <c r="O143" s="7"/>
    </row>
    <row r="144" spans="11:15">
      <c r="K144" s="7"/>
      <c r="O144" s="7"/>
    </row>
    <row r="145" spans="10:15">
      <c r="K145" s="7"/>
      <c r="O145" s="7"/>
    </row>
    <row r="146" spans="10:15">
      <c r="K146" s="7"/>
      <c r="O146" s="7"/>
    </row>
    <row r="147" spans="10:15">
      <c r="K147" s="7"/>
      <c r="O147" s="7"/>
    </row>
    <row r="148" spans="10:15">
      <c r="K148" s="7"/>
      <c r="O148" s="7"/>
    </row>
    <row r="149" spans="10:15">
      <c r="K149" s="7"/>
      <c r="O149" s="7"/>
    </row>
    <row r="150" spans="10:15">
      <c r="K150" s="7"/>
      <c r="O150" s="7"/>
    </row>
    <row r="151" spans="10:15">
      <c r="K151" s="7"/>
      <c r="O151" s="7"/>
    </row>
    <row r="152" spans="10:15">
      <c r="K152" s="7"/>
      <c r="O152" s="7"/>
    </row>
    <row r="153" spans="10:15">
      <c r="J153" s="7"/>
      <c r="K153" s="7"/>
      <c r="O153" s="7"/>
    </row>
    <row r="154" spans="10:15">
      <c r="J154" s="7"/>
      <c r="K154" s="7"/>
      <c r="N154" s="7"/>
      <c r="O154" s="7"/>
    </row>
    <row r="155" spans="10:15">
      <c r="J155" s="7"/>
      <c r="K155" s="7"/>
      <c r="O155" s="7"/>
    </row>
    <row r="156" spans="10:15">
      <c r="J156" s="7"/>
      <c r="K156" s="7"/>
      <c r="O156" s="7"/>
    </row>
    <row r="157" spans="10:15">
      <c r="J157" s="7"/>
      <c r="K157" s="7"/>
      <c r="O157" s="7"/>
    </row>
    <row r="158" spans="10:15">
      <c r="J158" s="7"/>
      <c r="K158" s="7"/>
      <c r="O158" s="7"/>
    </row>
    <row r="159" spans="10:15">
      <c r="J159" s="7"/>
      <c r="K159" s="7"/>
      <c r="O159" s="7"/>
    </row>
    <row r="160" spans="10:15">
      <c r="J160" s="7"/>
      <c r="K160" s="7"/>
      <c r="O160" s="7"/>
    </row>
    <row r="161" spans="10:15">
      <c r="J161" s="7"/>
      <c r="K161" s="7"/>
      <c r="O161" s="7"/>
    </row>
    <row r="162" spans="10:15">
      <c r="J162" s="7"/>
      <c r="K162" s="7"/>
      <c r="O162" s="7"/>
    </row>
    <row r="163" spans="10:15">
      <c r="J163" s="7"/>
      <c r="K163" s="7"/>
      <c r="O163" s="7"/>
    </row>
    <row r="164" spans="10:15">
      <c r="J164" s="7"/>
      <c r="K164" s="7"/>
      <c r="O164" s="7"/>
    </row>
    <row r="165" spans="10:15">
      <c r="J165" s="7"/>
      <c r="K165" s="7"/>
      <c r="O165" s="7"/>
    </row>
    <row r="166" spans="10:15">
      <c r="J166" s="7"/>
      <c r="K166" s="7"/>
      <c r="O166" s="7"/>
    </row>
    <row r="167" spans="10:15">
      <c r="J167" s="7"/>
      <c r="K167" s="7"/>
      <c r="O167" s="7"/>
    </row>
    <row r="168" spans="10:15">
      <c r="J168" s="7"/>
      <c r="K168" s="7"/>
      <c r="O168" s="7"/>
    </row>
    <row r="169" spans="10:15">
      <c r="J169" s="7"/>
      <c r="K169" s="7"/>
      <c r="O169" s="7"/>
    </row>
    <row r="170" spans="10:15">
      <c r="J170" s="7"/>
      <c r="K170" s="7"/>
      <c r="O170" s="7"/>
    </row>
    <row r="171" spans="10:15">
      <c r="J171" s="7"/>
      <c r="K171" s="7"/>
      <c r="O171" s="7"/>
    </row>
    <row r="172" spans="10:15">
      <c r="J172" s="7"/>
      <c r="K172" s="7"/>
      <c r="O172" s="7"/>
    </row>
    <row r="173" spans="10:15">
      <c r="J173" s="7"/>
      <c r="K173" s="7"/>
      <c r="O173" s="7"/>
    </row>
    <row r="174" spans="10:15">
      <c r="J174" s="7"/>
      <c r="K174" s="7"/>
      <c r="O174" s="7"/>
    </row>
    <row r="175" spans="10:15">
      <c r="K175" s="7"/>
      <c r="O175" s="7"/>
    </row>
    <row r="176" spans="10:15">
      <c r="K176" s="7"/>
      <c r="O176" s="7"/>
    </row>
    <row r="177" spans="11:15">
      <c r="K177" s="7"/>
      <c r="O177" s="7"/>
    </row>
    <row r="178" spans="11:15">
      <c r="K178" s="7"/>
      <c r="O178" s="7"/>
    </row>
    <row r="179" spans="11:15">
      <c r="K179" s="7"/>
      <c r="O179" s="7"/>
    </row>
    <row r="180" spans="11:15">
      <c r="K180" s="7"/>
      <c r="O180" s="7"/>
    </row>
    <row r="181" spans="11:15">
      <c r="K181" s="7"/>
      <c r="O181" s="7"/>
    </row>
    <row r="182" spans="11:15">
      <c r="K182" s="7"/>
      <c r="O182" s="7"/>
    </row>
    <row r="183" spans="11:15">
      <c r="K183" s="7"/>
      <c r="O183" s="7"/>
    </row>
    <row r="184" spans="11:15">
      <c r="K184" s="7"/>
      <c r="O184" s="7"/>
    </row>
    <row r="185" spans="11:15">
      <c r="K185" s="7"/>
      <c r="O185" s="7"/>
    </row>
    <row r="186" spans="11:15">
      <c r="K186" s="7"/>
      <c r="O186" s="7"/>
    </row>
    <row r="187" spans="11:15">
      <c r="K187" s="7"/>
      <c r="O187" s="7"/>
    </row>
    <row r="188" spans="11:15">
      <c r="K188" s="7"/>
      <c r="O188" s="7"/>
    </row>
    <row r="189" spans="11:15">
      <c r="K189" s="7"/>
      <c r="O189" s="7"/>
    </row>
    <row r="190" spans="11:15">
      <c r="K190" s="7"/>
      <c r="O190" s="7"/>
    </row>
    <row r="191" spans="11:15">
      <c r="K191" s="7"/>
      <c r="O191" s="7"/>
    </row>
    <row r="192" spans="11:15">
      <c r="K192" s="7"/>
      <c r="O192" s="7"/>
    </row>
    <row r="193" spans="11:15">
      <c r="K193" s="7"/>
      <c r="O193" s="7"/>
    </row>
    <row r="194" spans="11:15">
      <c r="K194" s="7"/>
      <c r="O194" s="7"/>
    </row>
    <row r="195" spans="11:15">
      <c r="K195" s="7"/>
      <c r="O195" s="7"/>
    </row>
    <row r="196" spans="11:15">
      <c r="K196" s="7"/>
      <c r="O196" s="7"/>
    </row>
    <row r="197" spans="11:15">
      <c r="K197" s="7"/>
      <c r="O197" s="7"/>
    </row>
    <row r="198" spans="11:15">
      <c r="K198" s="7"/>
      <c r="O198" s="7"/>
    </row>
    <row r="199" spans="11:15">
      <c r="K199" s="7"/>
      <c r="O199" s="7"/>
    </row>
    <row r="200" spans="11:15">
      <c r="K200" s="7"/>
      <c r="O200" s="7"/>
    </row>
    <row r="201" spans="11:15">
      <c r="K201" s="7"/>
      <c r="O201" s="7"/>
    </row>
    <row r="202" spans="11:15">
      <c r="K202" s="7"/>
      <c r="O202" s="7"/>
    </row>
    <row r="203" spans="11:15">
      <c r="K203" s="7"/>
      <c r="O203" s="7"/>
    </row>
    <row r="204" spans="11:15">
      <c r="K204" s="7"/>
      <c r="O204" s="7"/>
    </row>
    <row r="205" spans="11:15">
      <c r="K205" s="7"/>
      <c r="O205" s="7"/>
    </row>
    <row r="206" spans="11:15">
      <c r="K206" s="7"/>
      <c r="O206" s="7"/>
    </row>
    <row r="207" spans="11:15">
      <c r="K207" s="7"/>
      <c r="O207" s="7"/>
    </row>
    <row r="208" spans="11:15">
      <c r="K208" s="7"/>
      <c r="O208" s="7"/>
    </row>
    <row r="209" spans="11:15">
      <c r="K209" s="7"/>
      <c r="O209" s="7"/>
    </row>
    <row r="210" spans="11:15">
      <c r="K210" s="7"/>
      <c r="O210" s="7"/>
    </row>
    <row r="211" spans="11:15">
      <c r="K211" s="7"/>
      <c r="O211" s="7"/>
    </row>
    <row r="212" spans="11:15">
      <c r="K212" s="7"/>
      <c r="O212" s="7"/>
    </row>
    <row r="213" spans="11:15">
      <c r="K213" s="7"/>
      <c r="O213" s="7"/>
    </row>
    <row r="214" spans="11:15">
      <c r="K214" s="7"/>
      <c r="O214" s="7"/>
    </row>
    <row r="215" spans="11:15">
      <c r="K215" s="7"/>
      <c r="O215" s="7"/>
    </row>
    <row r="216" spans="11:15">
      <c r="K216" s="7"/>
      <c r="O216" s="7"/>
    </row>
    <row r="217" spans="11:15">
      <c r="K217" s="7"/>
      <c r="O217" s="7"/>
    </row>
    <row r="218" spans="11:15">
      <c r="K218" s="7"/>
      <c r="O218" s="7"/>
    </row>
    <row r="219" spans="11:15">
      <c r="K219" s="7"/>
      <c r="O219" s="7"/>
    </row>
    <row r="220" spans="11:15">
      <c r="K220" s="7"/>
      <c r="O220" s="7"/>
    </row>
    <row r="221" spans="11:15">
      <c r="K221" s="7"/>
      <c r="O221" s="7"/>
    </row>
    <row r="222" spans="11:15">
      <c r="K222" s="7"/>
      <c r="O222" s="7"/>
    </row>
    <row r="223" spans="11:15">
      <c r="K223" s="7"/>
      <c r="O223" s="7"/>
    </row>
    <row r="224" spans="11:15">
      <c r="K224" s="7"/>
      <c r="O224" s="7"/>
    </row>
    <row r="225" spans="11:15">
      <c r="K225" s="7"/>
      <c r="O225" s="7"/>
    </row>
    <row r="226" spans="11:15">
      <c r="K226" s="7"/>
      <c r="O226" s="7"/>
    </row>
    <row r="227" spans="11:15">
      <c r="K227" s="7"/>
      <c r="O227" s="7"/>
    </row>
    <row r="228" spans="11:15">
      <c r="K228" s="7"/>
      <c r="O228" s="7"/>
    </row>
    <row r="229" spans="11:15">
      <c r="K229" s="7"/>
      <c r="O229" s="7"/>
    </row>
    <row r="230" spans="11:15">
      <c r="K230" s="7"/>
      <c r="O230" s="7"/>
    </row>
    <row r="231" spans="11:15">
      <c r="K231" s="7"/>
      <c r="O231" s="7"/>
    </row>
    <row r="232" spans="11:15">
      <c r="K232" s="7"/>
      <c r="O232" s="7"/>
    </row>
    <row r="233" spans="11:15">
      <c r="K233" s="7"/>
      <c r="O233" s="7"/>
    </row>
    <row r="234" spans="11:15">
      <c r="K234" s="7"/>
      <c r="O234" s="7"/>
    </row>
    <row r="235" spans="11:15">
      <c r="K235" s="7"/>
      <c r="O235" s="7"/>
    </row>
    <row r="236" spans="11:15">
      <c r="K236" s="7"/>
      <c r="O236" s="7"/>
    </row>
    <row r="237" spans="11:15">
      <c r="K237" s="7"/>
      <c r="O237" s="7"/>
    </row>
    <row r="238" spans="11:15">
      <c r="K238" s="7"/>
      <c r="O238" s="7"/>
    </row>
    <row r="239" spans="11:15">
      <c r="K239" s="7"/>
      <c r="O239" s="7"/>
    </row>
    <row r="240" spans="11:15">
      <c r="K240" s="7"/>
      <c r="O240" s="7"/>
    </row>
    <row r="241" spans="11:15">
      <c r="K241" s="7"/>
      <c r="O241" s="7"/>
    </row>
    <row r="242" spans="11:15">
      <c r="K242" s="7"/>
      <c r="O242" s="7"/>
    </row>
    <row r="243" spans="11:15">
      <c r="K243" s="7"/>
      <c r="O243" s="7"/>
    </row>
    <row r="244" spans="11:15">
      <c r="K244" s="7"/>
      <c r="O244" s="7"/>
    </row>
    <row r="245" spans="11:15">
      <c r="K245" s="7"/>
      <c r="O245" s="7"/>
    </row>
    <row r="246" spans="11:15">
      <c r="K246" s="7"/>
      <c r="O246" s="7"/>
    </row>
    <row r="247" spans="11:15">
      <c r="K247" s="7"/>
      <c r="O247" s="7"/>
    </row>
    <row r="248" spans="11:15">
      <c r="K248" s="7"/>
      <c r="O248" s="7"/>
    </row>
    <row r="249" spans="11:15">
      <c r="K249" s="7"/>
      <c r="O249" s="7"/>
    </row>
    <row r="250" spans="11:15">
      <c r="K250" s="7"/>
      <c r="O250" s="7"/>
    </row>
    <row r="251" spans="11:15">
      <c r="K251" s="7"/>
      <c r="O251" s="7"/>
    </row>
    <row r="252" spans="11:15">
      <c r="K252" s="7"/>
      <c r="O252" s="7"/>
    </row>
    <row r="253" spans="11:15">
      <c r="K253" s="7"/>
      <c r="O253" s="7"/>
    </row>
    <row r="254" spans="11:15">
      <c r="K254" s="7"/>
      <c r="O254" s="7"/>
    </row>
    <row r="255" spans="11:15">
      <c r="K255" s="7"/>
      <c r="O255" s="7"/>
    </row>
    <row r="256" spans="11:15">
      <c r="K256" s="7"/>
      <c r="O256" s="7"/>
    </row>
    <row r="257" spans="11:15">
      <c r="K257" s="7"/>
      <c r="O257" s="7"/>
    </row>
    <row r="258" spans="11:15">
      <c r="K258" s="7"/>
      <c r="O258" s="7"/>
    </row>
    <row r="259" spans="11:15">
      <c r="K259" s="7"/>
      <c r="O259" s="7"/>
    </row>
    <row r="260" spans="11:15">
      <c r="K260" s="7"/>
      <c r="O260" s="7"/>
    </row>
    <row r="261" spans="11:15">
      <c r="K261" s="7"/>
      <c r="O261" s="7"/>
    </row>
    <row r="262" spans="11:15">
      <c r="K262" s="7"/>
      <c r="O262" s="7"/>
    </row>
    <row r="263" spans="11:15">
      <c r="K263" s="7"/>
      <c r="O263" s="7"/>
    </row>
    <row r="264" spans="11:15">
      <c r="K264" s="7"/>
      <c r="O264" s="7"/>
    </row>
    <row r="265" spans="11:15">
      <c r="K265" s="7"/>
      <c r="O265" s="7"/>
    </row>
    <row r="266" spans="11:15">
      <c r="K266" s="7"/>
      <c r="O266" s="7"/>
    </row>
    <row r="267" spans="11:15">
      <c r="K267" s="7"/>
      <c r="O267" s="7"/>
    </row>
    <row r="268" spans="11:15">
      <c r="K268" s="7"/>
      <c r="O268" s="7"/>
    </row>
    <row r="269" spans="11:15">
      <c r="K269" s="7"/>
      <c r="O269" s="7"/>
    </row>
    <row r="270" spans="11:15">
      <c r="K270" s="7"/>
      <c r="O270" s="7"/>
    </row>
    <row r="271" spans="11:15">
      <c r="K271" s="7"/>
      <c r="O271" s="7"/>
    </row>
    <row r="272" spans="11:15">
      <c r="K272" s="7"/>
      <c r="O272" s="7"/>
    </row>
    <row r="273" spans="11:15">
      <c r="K273" s="7"/>
      <c r="O273" s="7"/>
    </row>
    <row r="274" spans="11:15">
      <c r="K274" s="7"/>
      <c r="O274" s="7"/>
    </row>
    <row r="275" spans="11:15">
      <c r="K275" s="7"/>
      <c r="O275" s="7"/>
    </row>
    <row r="276" spans="11:15">
      <c r="K276" s="7"/>
      <c r="O276" s="7"/>
    </row>
    <row r="277" spans="11:15">
      <c r="K277" s="7"/>
      <c r="O277" s="7"/>
    </row>
    <row r="278" spans="11:15">
      <c r="K278" s="7"/>
      <c r="O278" s="7"/>
    </row>
    <row r="279" spans="11:15">
      <c r="K279" s="7"/>
      <c r="O279" s="7"/>
    </row>
    <row r="280" spans="11:15">
      <c r="K280" s="7"/>
      <c r="O280" s="7"/>
    </row>
    <row r="281" spans="11:15">
      <c r="K281" s="7"/>
      <c r="O281" s="7"/>
    </row>
    <row r="282" spans="11:15">
      <c r="K282" s="7"/>
      <c r="O282" s="7"/>
    </row>
    <row r="283" spans="11:15">
      <c r="K283" s="7"/>
      <c r="O283" s="7"/>
    </row>
    <row r="284" spans="11:15">
      <c r="K284" s="7"/>
      <c r="O284" s="7"/>
    </row>
    <row r="285" spans="11:15">
      <c r="K285" s="7"/>
      <c r="O285" s="7"/>
    </row>
    <row r="286" spans="11:15">
      <c r="K286" s="7"/>
      <c r="O286" s="7"/>
    </row>
    <row r="287" spans="11:15">
      <c r="K287" s="7"/>
      <c r="O287" s="7"/>
    </row>
    <row r="288" spans="11:15">
      <c r="K288" s="7"/>
      <c r="O288" s="7"/>
    </row>
    <row r="289" spans="11:15">
      <c r="K289" s="7"/>
      <c r="O289" s="7"/>
    </row>
    <row r="290" spans="11:15">
      <c r="K290" s="7"/>
      <c r="O290" s="7"/>
    </row>
    <row r="291" spans="11:15">
      <c r="K291" s="7"/>
      <c r="O291" s="7"/>
    </row>
    <row r="292" spans="11:15">
      <c r="K292" s="7"/>
      <c r="O292" s="7"/>
    </row>
    <row r="293" spans="11:15">
      <c r="K293" s="7"/>
      <c r="O293" s="7"/>
    </row>
    <row r="294" spans="11:15">
      <c r="K294" s="7"/>
      <c r="O294" s="7"/>
    </row>
    <row r="295" spans="11:15">
      <c r="K295" s="7"/>
      <c r="O295" s="7"/>
    </row>
    <row r="296" spans="11:15">
      <c r="K296" s="7"/>
      <c r="O296" s="7"/>
    </row>
    <row r="297" spans="11:15">
      <c r="K297" s="7"/>
      <c r="O297" s="7"/>
    </row>
    <row r="298" spans="11:15">
      <c r="K298" s="7"/>
      <c r="O298" s="7"/>
    </row>
    <row r="299" spans="11:15">
      <c r="K299" s="7"/>
      <c r="O299" s="7"/>
    </row>
    <row r="300" spans="11:15">
      <c r="K300" s="7"/>
      <c r="O300" s="7"/>
    </row>
    <row r="301" spans="11:15">
      <c r="K301" s="7"/>
      <c r="O301" s="7"/>
    </row>
    <row r="302" spans="11:15">
      <c r="K302" s="7"/>
      <c r="O302" s="7"/>
    </row>
    <row r="303" spans="11:15">
      <c r="K303" s="7"/>
      <c r="O303" s="7"/>
    </row>
    <row r="304" spans="11:15">
      <c r="K304" s="7"/>
      <c r="O304" s="7"/>
    </row>
    <row r="305" spans="11:15">
      <c r="K305" s="7"/>
      <c r="O305" s="7"/>
    </row>
    <row r="306" spans="11:15">
      <c r="K306" s="7"/>
      <c r="O306" s="7"/>
    </row>
    <row r="307" spans="11:15">
      <c r="K307" s="7"/>
      <c r="O307" s="7"/>
    </row>
    <row r="308" spans="11:15">
      <c r="K308" s="7"/>
      <c r="O308" s="7"/>
    </row>
    <row r="309" spans="11:15">
      <c r="K309" s="7"/>
      <c r="O309" s="7"/>
    </row>
    <row r="310" spans="11:15">
      <c r="K310" s="7"/>
      <c r="O310" s="7"/>
    </row>
    <row r="311" spans="11:15">
      <c r="K311" s="7"/>
      <c r="O311" s="7"/>
    </row>
    <row r="312" spans="11:15">
      <c r="K312" s="7"/>
      <c r="O312" s="7"/>
    </row>
    <row r="313" spans="11:15">
      <c r="K313" s="7"/>
      <c r="O313" s="7"/>
    </row>
    <row r="314" spans="11:15">
      <c r="K314" s="7"/>
      <c r="O314" s="7"/>
    </row>
    <row r="315" spans="11:15">
      <c r="K315" s="7"/>
      <c r="O315" s="7"/>
    </row>
    <row r="316" spans="11:15">
      <c r="K316" s="7"/>
      <c r="O316" s="7"/>
    </row>
    <row r="317" spans="11:15">
      <c r="K317" s="7"/>
      <c r="O317" s="7"/>
    </row>
    <row r="318" spans="11:15">
      <c r="K318" s="7"/>
      <c r="O318" s="7"/>
    </row>
    <row r="319" spans="11:15">
      <c r="K319" s="7"/>
      <c r="O319" s="7"/>
    </row>
    <row r="320" spans="11:15">
      <c r="K320" s="7"/>
      <c r="O320" s="7"/>
    </row>
    <row r="321" spans="11:15">
      <c r="K321" s="7"/>
      <c r="O321" s="7"/>
    </row>
    <row r="322" spans="11:15">
      <c r="K322" s="7"/>
      <c r="O322" s="7"/>
    </row>
    <row r="323" spans="11:15">
      <c r="K323" s="7"/>
      <c r="O323" s="7"/>
    </row>
    <row r="324" spans="11:15">
      <c r="K324" s="7"/>
      <c r="O324" s="7"/>
    </row>
    <row r="325" spans="11:15">
      <c r="K325" s="7"/>
      <c r="O325" s="7"/>
    </row>
    <row r="326" spans="11:15">
      <c r="K326" s="7"/>
      <c r="O326" s="7"/>
    </row>
    <row r="327" spans="11:15">
      <c r="K327" s="7"/>
      <c r="O327" s="7"/>
    </row>
    <row r="328" spans="11:15">
      <c r="K328" s="7"/>
      <c r="O328" s="7"/>
    </row>
    <row r="329" spans="11:15">
      <c r="K329" s="7"/>
      <c r="O329" s="7"/>
    </row>
    <row r="330" spans="11:15">
      <c r="K330" s="7"/>
      <c r="O330" s="7"/>
    </row>
    <row r="331" spans="11:15">
      <c r="K331" s="7"/>
      <c r="O331" s="7"/>
    </row>
    <row r="332" spans="11:15">
      <c r="K332" s="7"/>
      <c r="O332" s="7"/>
    </row>
    <row r="333" spans="11:15">
      <c r="K333" s="7"/>
      <c r="O333" s="7"/>
    </row>
    <row r="334" spans="11:15">
      <c r="K334" s="7"/>
      <c r="O334" s="7"/>
    </row>
    <row r="335" spans="11:15">
      <c r="K335" s="7"/>
      <c r="O335" s="7"/>
    </row>
    <row r="336" spans="11:15">
      <c r="K336" s="7"/>
      <c r="O336" s="7"/>
    </row>
    <row r="337" spans="11:15">
      <c r="K337" s="7"/>
      <c r="O337" s="7"/>
    </row>
    <row r="338" spans="11:15">
      <c r="K338" s="7"/>
      <c r="O338" s="7"/>
    </row>
    <row r="339" spans="11:15">
      <c r="K339" s="7"/>
      <c r="O339" s="7"/>
    </row>
    <row r="340" spans="11:15">
      <c r="K340" s="7"/>
      <c r="O340" s="7"/>
    </row>
    <row r="341" spans="11:15">
      <c r="K341" s="7"/>
      <c r="O341" s="7"/>
    </row>
    <row r="342" spans="11:15">
      <c r="K342" s="7"/>
      <c r="O342" s="7"/>
    </row>
    <row r="343" spans="11:15">
      <c r="K343" s="7"/>
      <c r="O343" s="7"/>
    </row>
    <row r="344" spans="11:15">
      <c r="K344" s="7"/>
      <c r="O344" s="7"/>
    </row>
    <row r="345" spans="11:15">
      <c r="K345" s="7"/>
      <c r="O345" s="7"/>
    </row>
    <row r="346" spans="11:15">
      <c r="K346" s="7"/>
      <c r="O346" s="7"/>
    </row>
    <row r="347" spans="11:15">
      <c r="K347" s="7"/>
      <c r="O347" s="7"/>
    </row>
    <row r="348" spans="11:15">
      <c r="K348" s="7"/>
      <c r="O348" s="7"/>
    </row>
    <row r="349" spans="11:15">
      <c r="K349" s="7"/>
      <c r="O349" s="7"/>
    </row>
    <row r="350" spans="11:15">
      <c r="K350" s="7"/>
      <c r="O350" s="7"/>
    </row>
    <row r="351" spans="11:15">
      <c r="K351" s="7"/>
      <c r="O351" s="7"/>
    </row>
    <row r="352" spans="11:15">
      <c r="K352" s="7"/>
      <c r="O352" s="7"/>
    </row>
    <row r="353" spans="11:15">
      <c r="K353" s="7"/>
      <c r="O353" s="7"/>
    </row>
    <row r="354" spans="11:15">
      <c r="K354" s="7"/>
      <c r="O354" s="7"/>
    </row>
    <row r="355" spans="11:15">
      <c r="K355" s="7"/>
      <c r="O355" s="7"/>
    </row>
    <row r="356" spans="11:15">
      <c r="K356" s="7"/>
      <c r="O356" s="7"/>
    </row>
    <row r="357" spans="11:15">
      <c r="K357" s="7"/>
      <c r="O357" s="7"/>
    </row>
    <row r="358" spans="11:15">
      <c r="K358" s="7"/>
      <c r="O358" s="7"/>
    </row>
    <row r="359" spans="11:15">
      <c r="K359" s="7"/>
      <c r="O359" s="7"/>
    </row>
    <row r="360" spans="11:15">
      <c r="K360" s="7"/>
      <c r="O360" s="7"/>
    </row>
    <row r="361" spans="11:15">
      <c r="K361" s="7"/>
      <c r="O361" s="7"/>
    </row>
    <row r="362" spans="11:15">
      <c r="K362" s="7"/>
      <c r="O362" s="7"/>
    </row>
    <row r="363" spans="11:15">
      <c r="K363" s="7"/>
      <c r="O363" s="7"/>
    </row>
    <row r="364" spans="11:15">
      <c r="K364" s="7"/>
      <c r="O364" s="7"/>
    </row>
    <row r="365" spans="11:15">
      <c r="K365" s="7"/>
      <c r="O365" s="7"/>
    </row>
    <row r="366" spans="11:15">
      <c r="K366" s="7"/>
      <c r="O366" s="7"/>
    </row>
    <row r="367" spans="11:15">
      <c r="K367" s="7"/>
      <c r="O367" s="7"/>
    </row>
    <row r="368" spans="11:15">
      <c r="K368" s="7"/>
      <c r="O368" s="7"/>
    </row>
    <row r="369" spans="11:15">
      <c r="K369" s="7"/>
      <c r="O369" s="7"/>
    </row>
    <row r="370" spans="11:15">
      <c r="K370" s="7"/>
      <c r="O370" s="7"/>
    </row>
    <row r="371" spans="11:15">
      <c r="K371" s="7"/>
      <c r="O371" s="7"/>
    </row>
    <row r="372" spans="11:15">
      <c r="K372" s="7"/>
      <c r="O372" s="7"/>
    </row>
    <row r="373" spans="11:15">
      <c r="K373" s="7"/>
      <c r="O373" s="7"/>
    </row>
    <row r="374" spans="11:15">
      <c r="K374" s="7"/>
      <c r="O374" s="7"/>
    </row>
    <row r="375" spans="11:15">
      <c r="K375" s="7"/>
      <c r="O375" s="7"/>
    </row>
    <row r="376" spans="11:15">
      <c r="K376" s="7"/>
      <c r="O376" s="7"/>
    </row>
    <row r="377" spans="11:15">
      <c r="K377" s="7"/>
      <c r="O377" s="7"/>
    </row>
    <row r="378" spans="11:15">
      <c r="K378" s="7"/>
      <c r="O378" s="7"/>
    </row>
    <row r="379" spans="11:15">
      <c r="K379" s="7"/>
      <c r="O379" s="7"/>
    </row>
    <row r="380" spans="11:15">
      <c r="K380" s="7"/>
      <c r="O380" s="7"/>
    </row>
    <row r="381" spans="11:15">
      <c r="K381" s="7"/>
      <c r="O381" s="7"/>
    </row>
    <row r="382" spans="11:15">
      <c r="K382" s="7"/>
      <c r="O382" s="7"/>
    </row>
    <row r="383" spans="11:15">
      <c r="K383" s="7"/>
      <c r="O383" s="7"/>
    </row>
    <row r="384" spans="11:15">
      <c r="K384" s="7"/>
      <c r="O384" s="7"/>
    </row>
    <row r="385" spans="11:15">
      <c r="K385" s="7"/>
      <c r="O385" s="7"/>
    </row>
    <row r="386" spans="11:15">
      <c r="K386" s="7"/>
      <c r="O386" s="7"/>
    </row>
    <row r="387" spans="11:15">
      <c r="K387" s="7"/>
      <c r="O387" s="7"/>
    </row>
    <row r="388" spans="11:15">
      <c r="K388" s="7"/>
      <c r="O388" s="7"/>
    </row>
    <row r="389" spans="11:15">
      <c r="K389" s="7"/>
      <c r="O389" s="7"/>
    </row>
    <row r="390" spans="11:15">
      <c r="K390" s="7"/>
      <c r="O390" s="7"/>
    </row>
    <row r="391" spans="11:15">
      <c r="K391" s="7"/>
      <c r="O391" s="7"/>
    </row>
    <row r="392" spans="11:15">
      <c r="K392" s="7"/>
      <c r="O392" s="7"/>
    </row>
    <row r="393" spans="11:15">
      <c r="K393" s="7"/>
      <c r="O393" s="7"/>
    </row>
    <row r="394" spans="11:15">
      <c r="K394" s="7"/>
      <c r="O394" s="7"/>
    </row>
    <row r="395" spans="11:15">
      <c r="K395" s="7"/>
      <c r="O395" s="7"/>
    </row>
    <row r="396" spans="11:15">
      <c r="K396" s="7"/>
      <c r="O396" s="7"/>
    </row>
    <row r="397" spans="11:15">
      <c r="K397" s="7"/>
      <c r="O397" s="7"/>
    </row>
    <row r="398" spans="11:15">
      <c r="K398" s="7"/>
      <c r="O398" s="7"/>
    </row>
    <row r="399" spans="11:15">
      <c r="K399" s="7"/>
      <c r="O399" s="7"/>
    </row>
    <row r="400" spans="11:15">
      <c r="K400" s="7"/>
      <c r="O400" s="7"/>
    </row>
    <row r="401" spans="11:15">
      <c r="K401" s="7"/>
      <c r="O401" s="7"/>
    </row>
    <row r="402" spans="11:15">
      <c r="K402" s="7"/>
      <c r="O402" s="7"/>
    </row>
    <row r="403" spans="11:15">
      <c r="K403" s="7"/>
      <c r="O403" s="7"/>
    </row>
    <row r="404" spans="11:15">
      <c r="K404" s="7"/>
      <c r="O404" s="7"/>
    </row>
    <row r="405" spans="11:15">
      <c r="K405" s="7"/>
      <c r="O405" s="7"/>
    </row>
    <row r="406" spans="11:15">
      <c r="K406" s="7"/>
      <c r="O406" s="7"/>
    </row>
    <row r="407" spans="11:15">
      <c r="K407" s="7"/>
      <c r="O407" s="7"/>
    </row>
    <row r="408" spans="11:15">
      <c r="K408" s="7"/>
      <c r="O408" s="7"/>
    </row>
    <row r="409" spans="11:15">
      <c r="K409" s="7"/>
      <c r="O409" s="7"/>
    </row>
    <row r="410" spans="11:15">
      <c r="K410" s="7"/>
      <c r="O410" s="7"/>
    </row>
    <row r="411" spans="11:15">
      <c r="K411" s="7"/>
      <c r="O411" s="7"/>
    </row>
    <row r="412" spans="11:15">
      <c r="K412" s="7"/>
      <c r="O412" s="7"/>
    </row>
    <row r="413" spans="11:15">
      <c r="K413" s="7"/>
      <c r="O413" s="7"/>
    </row>
    <row r="414" spans="11:15">
      <c r="K414" s="7"/>
      <c r="O414" s="7"/>
    </row>
    <row r="415" spans="11:15">
      <c r="K415" s="7"/>
      <c r="O415" s="7"/>
    </row>
    <row r="416" spans="11:15">
      <c r="K416" s="7"/>
      <c r="O416" s="7"/>
    </row>
    <row r="417" spans="11:15">
      <c r="K417" s="7"/>
      <c r="O417" s="7"/>
    </row>
    <row r="418" spans="11:15">
      <c r="K418" s="7"/>
      <c r="O418" s="7"/>
    </row>
    <row r="419" spans="11:15">
      <c r="K419" s="7"/>
      <c r="O419" s="7"/>
    </row>
    <row r="420" spans="11:15">
      <c r="K420" s="7"/>
      <c r="O420" s="7"/>
    </row>
    <row r="421" spans="11:15">
      <c r="K421" s="7"/>
      <c r="O421" s="7"/>
    </row>
    <row r="422" spans="11:15">
      <c r="K422" s="7"/>
      <c r="O422" s="7"/>
    </row>
    <row r="423" spans="11:15">
      <c r="K423" s="7"/>
      <c r="O423" s="7"/>
    </row>
    <row r="424" spans="11:15">
      <c r="K424" s="7"/>
      <c r="O424" s="7"/>
    </row>
    <row r="425" spans="11:15">
      <c r="K425" s="7"/>
      <c r="O425" s="7"/>
    </row>
    <row r="426" spans="11:15">
      <c r="K426" s="7"/>
      <c r="O426" s="7"/>
    </row>
    <row r="427" spans="11:15">
      <c r="K427" s="7"/>
      <c r="O427" s="7"/>
    </row>
    <row r="428" spans="11:15">
      <c r="K428" s="7"/>
      <c r="O428" s="7"/>
    </row>
    <row r="429" spans="11:15">
      <c r="K429" s="7"/>
      <c r="O429" s="7"/>
    </row>
    <row r="430" spans="11:15">
      <c r="K430" s="7"/>
      <c r="O430" s="7"/>
    </row>
    <row r="431" spans="11:15">
      <c r="K431" s="7"/>
      <c r="O431" s="7"/>
    </row>
    <row r="432" spans="11:15">
      <c r="K432" s="7"/>
      <c r="O432" s="7"/>
    </row>
    <row r="433" spans="11:15">
      <c r="K433" s="7"/>
      <c r="O433" s="7"/>
    </row>
    <row r="434" spans="11:15">
      <c r="K434" s="7"/>
      <c r="O434" s="7"/>
    </row>
    <row r="435" spans="11:15">
      <c r="K435" s="7"/>
      <c r="O435" s="7"/>
    </row>
    <row r="436" spans="11:15">
      <c r="K436" s="7"/>
      <c r="O436" s="7"/>
    </row>
    <row r="437" spans="11:15">
      <c r="K437" s="7"/>
      <c r="O437" s="7"/>
    </row>
    <row r="438" spans="11:15">
      <c r="K438" s="7"/>
      <c r="O438" s="7"/>
    </row>
    <row r="439" spans="11:15">
      <c r="K439" s="7"/>
      <c r="O439" s="7"/>
    </row>
    <row r="440" spans="11:15">
      <c r="K440" s="7"/>
      <c r="O440" s="7"/>
    </row>
    <row r="441" spans="11:15">
      <c r="K441" s="7"/>
      <c r="O441" s="7"/>
    </row>
    <row r="442" spans="11:15">
      <c r="K442" s="7"/>
      <c r="O442" s="7"/>
    </row>
    <row r="443" spans="11:15">
      <c r="K443" s="7"/>
      <c r="O443" s="7"/>
    </row>
    <row r="444" spans="11:15">
      <c r="K444" s="7"/>
      <c r="O444" s="7"/>
    </row>
    <row r="445" spans="11:15">
      <c r="K445" s="7"/>
      <c r="O445" s="7"/>
    </row>
    <row r="446" spans="11:15">
      <c r="K446" s="7"/>
      <c r="O446" s="7"/>
    </row>
    <row r="447" spans="11:15">
      <c r="K447" s="7"/>
      <c r="O447" s="7"/>
    </row>
    <row r="448" spans="11:15">
      <c r="K448" s="7"/>
      <c r="O448" s="7"/>
    </row>
    <row r="449" spans="11:15">
      <c r="K449" s="7"/>
      <c r="O449" s="7"/>
    </row>
    <row r="450" spans="11:15">
      <c r="K450" s="7"/>
      <c r="O450" s="7"/>
    </row>
    <row r="451" spans="11:15">
      <c r="K451" s="7"/>
      <c r="O451" s="7"/>
    </row>
    <row r="452" spans="11:15">
      <c r="K452" s="7"/>
      <c r="O452" s="7"/>
    </row>
    <row r="453" spans="11:15">
      <c r="K453" s="7"/>
      <c r="O453" s="7"/>
    </row>
    <row r="454" spans="11:15">
      <c r="K454" s="7"/>
      <c r="O454" s="7"/>
    </row>
    <row r="455" spans="11:15">
      <c r="K455" s="7"/>
      <c r="O455" s="7"/>
    </row>
    <row r="456" spans="11:15">
      <c r="K456" s="7"/>
      <c r="O456" s="7"/>
    </row>
    <row r="457" spans="11:15">
      <c r="K457" s="7"/>
      <c r="O457" s="7"/>
    </row>
    <row r="458" spans="11:15">
      <c r="K458" s="7"/>
      <c r="O458" s="7"/>
    </row>
    <row r="459" spans="11:15">
      <c r="K459" s="7"/>
      <c r="O459" s="7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Sálvio Aragão Almeida Júnior</dc:creator>
  <cp:lastModifiedBy>Sálvio Aragão Almeida Júnior</cp:lastModifiedBy>
  <dcterms:created xsi:type="dcterms:W3CDTF">2021-04-28T12:15:14Z</dcterms:created>
  <dcterms:modified xsi:type="dcterms:W3CDTF">2021-04-28T15:19:18Z</dcterms:modified>
</cp:coreProperties>
</file>